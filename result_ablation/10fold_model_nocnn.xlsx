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bsolute\"/>
    </mc:Choice>
  </mc:AlternateContent>
  <xr:revisionPtr revIDLastSave="0" documentId="13_ncr:1_{BECC5621-E776-45D0-A8A8-5723E17BD35A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L3" i="1" s="1"/>
  <c r="K3" i="1"/>
  <c r="F4" i="1"/>
  <c r="G4" i="1"/>
  <c r="H4" i="1"/>
  <c r="I4" i="1"/>
  <c r="J4" i="1"/>
  <c r="L4" i="1" s="1"/>
  <c r="K4" i="1"/>
  <c r="F5" i="1"/>
  <c r="G5" i="1"/>
  <c r="H5" i="1"/>
  <c r="I5" i="1"/>
  <c r="J5" i="1"/>
  <c r="L5" i="1" s="1"/>
  <c r="K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L9" i="1" s="1"/>
  <c r="K9" i="1"/>
  <c r="F10" i="1"/>
  <c r="G10" i="1"/>
  <c r="H10" i="1"/>
  <c r="I10" i="1"/>
  <c r="J10" i="1"/>
  <c r="K10" i="1"/>
  <c r="L10" i="1" s="1"/>
  <c r="F11" i="1"/>
  <c r="G11" i="1"/>
  <c r="H11" i="1"/>
  <c r="I11" i="1"/>
  <c r="J11" i="1"/>
  <c r="K11" i="1"/>
  <c r="L11" i="1" s="1"/>
  <c r="F12" i="1"/>
  <c r="G12" i="1"/>
  <c r="H12" i="1"/>
  <c r="I12" i="1"/>
  <c r="J12" i="1"/>
  <c r="K12" i="1"/>
  <c r="L12" i="1"/>
  <c r="K2" i="1"/>
  <c r="J2" i="1"/>
  <c r="L2" i="1" s="1"/>
  <c r="I2" i="1"/>
  <c r="H2" i="1"/>
  <c r="G2" i="1"/>
  <c r="F2" i="1"/>
</calcChain>
</file>

<file path=xl/sharedStrings.xml><?xml version="1.0" encoding="utf-8"?>
<sst xmlns="http://schemas.openxmlformats.org/spreadsheetml/2006/main" count="12" uniqueCount="12">
  <si>
    <t>TP</t>
  </si>
  <si>
    <t>FP</t>
  </si>
  <si>
    <t>TN</t>
  </si>
  <si>
    <t>FN</t>
  </si>
  <si>
    <t>AUC</t>
  </si>
  <si>
    <t>SEN</t>
  </si>
  <si>
    <t>SPE</t>
  </si>
  <si>
    <t>ACC</t>
  </si>
  <si>
    <t>MCC</t>
  </si>
  <si>
    <t>precision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</si>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</sst>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F2" sqref="F2:L12"/>
    </sheetView>
  </sheetViews>
  <sheetFormatPr defaultRowHeight="14.6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">
      <c r="A2">
        <v>734</v>
      </c>
      <c r="B2">
        <v>88</v>
      </c>
      <c r="C2">
        <v>2832</v>
      </c>
      <c r="D2">
        <v>441</v>
      </c>
      <c r="E2">
        <v>0.90002156805596034</v>
      </c>
      <c r="F2" s="3">
        <f t="shared" ref="F2" si="0">A2/(A2+D2)</f>
        <v>0.62468085106382976</v>
      </c>
      <c r="G2" s="3">
        <f t="shared" ref="G2" si="1">C2/(C2+B2)</f>
        <v>0.96986301369863015</v>
      </c>
      <c r="H2" s="3">
        <f t="shared" ref="H2" si="2">SUM(A2,C2)/SUM(A2:D2)</f>
        <v>0.87081807081807083</v>
      </c>
      <c r="I2" s="3">
        <f>((A2*C2)-(B2*D2))/SQRT((A2+B2)*(A2+D2)*(C2+B2)*(C2+D2))</f>
        <v>0.67140620329336409</v>
      </c>
      <c r="J2" s="3">
        <f>A2/(A2+B2)</f>
        <v>0.89294403892944041</v>
      </c>
      <c r="K2" s="3">
        <f>A2/(A2+D2)</f>
        <v>0.62468085106382976</v>
      </c>
      <c r="L2" s="3">
        <f>2*(J2*K2/(J2+K2))</f>
        <v>0.73510265398097141</v>
      </c>
    </row>
    <row r="3" spans="1:12" x14ac:dyDescent="0.4">
      <c r="A3">
        <v>669</v>
      </c>
      <c r="B3">
        <v>68</v>
      </c>
      <c r="C3">
        <v>2852</v>
      </c>
      <c r="D3">
        <v>506</v>
      </c>
      <c r="E3">
        <v>0.89494753716117748</v>
      </c>
      <c r="F3" s="3">
        <f t="shared" ref="F3:F12" si="3">A3/(A3+D3)</f>
        <v>0.56936170212765957</v>
      </c>
      <c r="G3" s="3">
        <f t="shared" ref="G3:G12" si="4">C3/(C3+B3)</f>
        <v>0.97671232876712333</v>
      </c>
      <c r="H3" s="3">
        <f t="shared" ref="H3:H12" si="5">SUM(A3,C3)/SUM(A3:D3)</f>
        <v>0.85982905982905988</v>
      </c>
      <c r="I3" s="3">
        <f t="shared" ref="I3:I12" si="6">((A3*C3)-(B3*D3))/SQRT((A3+B3)*(A3+D3)*(C3+B3)*(C3+D3))</f>
        <v>0.64296568146110777</v>
      </c>
      <c r="J3" s="3">
        <f t="shared" ref="J3:J12" si="7">A3/(A3+B3)</f>
        <v>0.90773405698778831</v>
      </c>
      <c r="K3" s="3">
        <f t="shared" ref="K3:K12" si="8">A3/(A3+D3)</f>
        <v>0.56936170212765957</v>
      </c>
      <c r="L3" s="3">
        <f t="shared" ref="L3:L12" si="9">2*(J3*K3/(J3+K3))</f>
        <v>0.69979079497907948</v>
      </c>
    </row>
    <row r="4" spans="1:12" x14ac:dyDescent="0.4">
      <c r="A4">
        <v>690</v>
      </c>
      <c r="B4">
        <v>89</v>
      </c>
      <c r="C4">
        <v>2831</v>
      </c>
      <c r="D4">
        <v>485</v>
      </c>
      <c r="E4">
        <v>0.8917656659865929</v>
      </c>
      <c r="F4" s="3">
        <f t="shared" si="3"/>
        <v>0.58723404255319145</v>
      </c>
      <c r="G4" s="3">
        <f t="shared" si="4"/>
        <v>0.96952054794520548</v>
      </c>
      <c r="H4" s="3">
        <f t="shared" si="5"/>
        <v>0.85982905982905988</v>
      </c>
      <c r="I4" s="3">
        <f t="shared" si="6"/>
        <v>0.64164996627509585</v>
      </c>
      <c r="J4" s="3">
        <f t="shared" si="7"/>
        <v>0.88575096277278564</v>
      </c>
      <c r="K4" s="3">
        <f t="shared" si="8"/>
        <v>0.58723404255319145</v>
      </c>
      <c r="L4" s="3">
        <f t="shared" si="9"/>
        <v>0.70624360286591603</v>
      </c>
    </row>
    <row r="5" spans="1:12" x14ac:dyDescent="0.4">
      <c r="A5">
        <v>772</v>
      </c>
      <c r="B5">
        <v>123</v>
      </c>
      <c r="C5">
        <v>2797</v>
      </c>
      <c r="D5">
        <v>403</v>
      </c>
      <c r="E5">
        <v>0.8999758088020986</v>
      </c>
      <c r="F5" s="3">
        <f t="shared" si="3"/>
        <v>0.65702127659574472</v>
      </c>
      <c r="G5" s="3">
        <f t="shared" si="4"/>
        <v>0.95787671232876714</v>
      </c>
      <c r="H5" s="3">
        <f t="shared" si="5"/>
        <v>0.87155067155067156</v>
      </c>
      <c r="I5" s="3">
        <f t="shared" si="6"/>
        <v>0.6730183799651438</v>
      </c>
      <c r="J5" s="3">
        <f t="shared" si="7"/>
        <v>0.86256983240223462</v>
      </c>
      <c r="K5" s="3">
        <f t="shared" si="8"/>
        <v>0.65702127659574472</v>
      </c>
      <c r="L5" s="3">
        <f t="shared" si="9"/>
        <v>0.74589371980676333</v>
      </c>
    </row>
    <row r="6" spans="1:12" x14ac:dyDescent="0.4">
      <c r="A6">
        <v>686</v>
      </c>
      <c r="B6">
        <v>117</v>
      </c>
      <c r="C6">
        <v>2803</v>
      </c>
      <c r="D6">
        <v>489</v>
      </c>
      <c r="E6">
        <v>0.88083182745555233</v>
      </c>
      <c r="F6" s="3">
        <f t="shared" si="3"/>
        <v>0.58382978723404255</v>
      </c>
      <c r="G6" s="3">
        <f t="shared" si="4"/>
        <v>0.95993150684931505</v>
      </c>
      <c r="H6" s="3">
        <f t="shared" si="5"/>
        <v>0.85201465201465199</v>
      </c>
      <c r="I6" s="3">
        <f t="shared" si="6"/>
        <v>0.61948524052292597</v>
      </c>
      <c r="J6" s="3">
        <f t="shared" si="7"/>
        <v>0.85429638854296386</v>
      </c>
      <c r="K6" s="3">
        <f t="shared" si="8"/>
        <v>0.58382978723404255</v>
      </c>
      <c r="L6" s="3">
        <f t="shared" si="9"/>
        <v>0.69362992922143585</v>
      </c>
    </row>
    <row r="7" spans="1:12" x14ac:dyDescent="0.4">
      <c r="A7">
        <v>750</v>
      </c>
      <c r="B7">
        <v>103</v>
      </c>
      <c r="C7">
        <v>2817</v>
      </c>
      <c r="D7">
        <v>425</v>
      </c>
      <c r="E7">
        <v>0.90585077236957168</v>
      </c>
      <c r="F7" s="3">
        <f t="shared" si="3"/>
        <v>0.63829787234042556</v>
      </c>
      <c r="G7" s="3">
        <f t="shared" si="4"/>
        <v>0.96472602739726032</v>
      </c>
      <c r="H7" s="3">
        <f t="shared" si="5"/>
        <v>0.87106227106227108</v>
      </c>
      <c r="I7" s="3">
        <f t="shared" si="6"/>
        <v>0.67168223673752214</v>
      </c>
      <c r="J7" s="3">
        <f t="shared" si="7"/>
        <v>0.87924970691676441</v>
      </c>
      <c r="K7" s="3">
        <f t="shared" si="8"/>
        <v>0.63829787234042556</v>
      </c>
      <c r="L7" s="3">
        <f t="shared" si="9"/>
        <v>0.7396449704142013</v>
      </c>
    </row>
    <row r="8" spans="1:12" x14ac:dyDescent="0.4">
      <c r="A8">
        <v>688</v>
      </c>
      <c r="B8">
        <v>104</v>
      </c>
      <c r="C8">
        <v>2816</v>
      </c>
      <c r="D8">
        <v>487</v>
      </c>
      <c r="E8">
        <v>0.89017983095307485</v>
      </c>
      <c r="F8" s="3">
        <f t="shared" si="3"/>
        <v>0.585531914893617</v>
      </c>
      <c r="G8" s="3">
        <f t="shared" si="4"/>
        <v>0.96438356164383565</v>
      </c>
      <c r="H8" s="3">
        <f t="shared" si="5"/>
        <v>0.85567765567765564</v>
      </c>
      <c r="I8" s="3">
        <f t="shared" si="6"/>
        <v>0.62978081094424698</v>
      </c>
      <c r="J8" s="3">
        <f t="shared" si="7"/>
        <v>0.86868686868686873</v>
      </c>
      <c r="K8" s="3">
        <f t="shared" si="8"/>
        <v>0.585531914893617</v>
      </c>
      <c r="L8" s="3">
        <f t="shared" si="9"/>
        <v>0.69954245043213015</v>
      </c>
    </row>
    <row r="9" spans="1:12" x14ac:dyDescent="0.4">
      <c r="A9">
        <v>762</v>
      </c>
      <c r="B9">
        <v>116</v>
      </c>
      <c r="C9">
        <v>2804</v>
      </c>
      <c r="D9">
        <v>413</v>
      </c>
      <c r="E9">
        <v>0.89496094433109874</v>
      </c>
      <c r="F9" s="3">
        <f t="shared" si="3"/>
        <v>0.64851063829787237</v>
      </c>
      <c r="G9" s="3">
        <f t="shared" si="4"/>
        <v>0.96027397260273972</v>
      </c>
      <c r="H9" s="3">
        <f t="shared" si="5"/>
        <v>0.87081807081807083</v>
      </c>
      <c r="I9" s="3">
        <f t="shared" si="6"/>
        <v>0.67096711642504148</v>
      </c>
      <c r="J9" s="3">
        <f t="shared" si="7"/>
        <v>0.86788154897494307</v>
      </c>
      <c r="K9" s="3">
        <f t="shared" si="8"/>
        <v>0.64851063829787237</v>
      </c>
      <c r="L9" s="3">
        <f t="shared" si="9"/>
        <v>0.7423283000487092</v>
      </c>
    </row>
    <row r="10" spans="1:12" x14ac:dyDescent="0.4">
      <c r="A10">
        <v>654</v>
      </c>
      <c r="B10">
        <v>112</v>
      </c>
      <c r="C10">
        <v>2808</v>
      </c>
      <c r="D10">
        <v>520</v>
      </c>
      <c r="E10">
        <v>0.87442125037922103</v>
      </c>
      <c r="F10" s="3">
        <f t="shared" si="3"/>
        <v>0.55706984667802384</v>
      </c>
      <c r="G10" s="3">
        <f t="shared" si="4"/>
        <v>0.9616438356164384</v>
      </c>
      <c r="H10" s="3">
        <f t="shared" si="5"/>
        <v>0.84562774792379092</v>
      </c>
      <c r="I10" s="3">
        <f t="shared" si="6"/>
        <v>0.60151593131677306</v>
      </c>
      <c r="J10" s="3">
        <f t="shared" si="7"/>
        <v>0.85378590078328986</v>
      </c>
      <c r="K10" s="3">
        <f t="shared" si="8"/>
        <v>0.55706984667802384</v>
      </c>
      <c r="L10" s="3">
        <f t="shared" si="9"/>
        <v>0.67422680412371128</v>
      </c>
    </row>
    <row r="11" spans="1:12" x14ac:dyDescent="0.4">
      <c r="A11">
        <v>723</v>
      </c>
      <c r="B11">
        <v>93</v>
      </c>
      <c r="C11">
        <v>2827</v>
      </c>
      <c r="D11">
        <v>451</v>
      </c>
      <c r="E11">
        <v>0.90780378520921345</v>
      </c>
      <c r="F11" s="3">
        <f t="shared" si="3"/>
        <v>0.61584327086882451</v>
      </c>
      <c r="G11" s="3">
        <f t="shared" si="4"/>
        <v>0.9681506849315068</v>
      </c>
      <c r="H11" s="3">
        <f t="shared" si="5"/>
        <v>0.86712261846604788</v>
      </c>
      <c r="I11" s="3">
        <f t="shared" si="6"/>
        <v>0.66112605411361514</v>
      </c>
      <c r="J11" s="3">
        <f t="shared" si="7"/>
        <v>0.88602941176470584</v>
      </c>
      <c r="K11" s="3">
        <f t="shared" si="8"/>
        <v>0.61584327086882451</v>
      </c>
      <c r="L11" s="3">
        <f t="shared" si="9"/>
        <v>0.72663316582914572</v>
      </c>
    </row>
    <row r="12" spans="1:12" x14ac:dyDescent="0.4">
      <c r="A12">
        <v>712.8</v>
      </c>
      <c r="B12">
        <v>101.3</v>
      </c>
      <c r="C12">
        <v>2818.7</v>
      </c>
      <c r="D12">
        <v>462</v>
      </c>
      <c r="E12">
        <v>0.89407589907035612</v>
      </c>
      <c r="F12" s="3">
        <f t="shared" si="3"/>
        <v>0.6067415730337079</v>
      </c>
      <c r="G12" s="3">
        <f t="shared" si="4"/>
        <v>0.96530821917808218</v>
      </c>
      <c r="H12" s="3">
        <f t="shared" si="5"/>
        <v>0.86243528377454337</v>
      </c>
      <c r="I12" s="3">
        <f t="shared" si="6"/>
        <v>0.64831353736733643</v>
      </c>
      <c r="J12" s="3">
        <f t="shared" si="7"/>
        <v>0.87556811202554974</v>
      </c>
      <c r="K12" s="3">
        <f t="shared" si="8"/>
        <v>0.6067415730337079</v>
      </c>
      <c r="L12" s="3">
        <f t="shared" si="9"/>
        <v>0.71677811855799689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2026-06-29T18:00:51Z</dcterms:created>
  <dcterms:modified xsi:type="dcterms:W3CDTF">2026-06-30T01:51:47Z</dcterms:modified>
</cp:coreProperties>
</file>