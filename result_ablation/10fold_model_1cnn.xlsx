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8.2025.PROJECT_PTM_dbPTM\Selt_KD_PTM\result_absolute\"/>
    </mc:Choice>
  </mc:AlternateContent>
  <xr:revisionPtr revIDLastSave="0" documentId="13_ncr:1_{FB89116B-7B85-444D-BF0E-B151142CFC27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G3" i="1"/>
  <c r="H3" i="1"/>
  <c r="I3" i="1"/>
  <c r="J3" i="1"/>
  <c r="K3" i="1"/>
  <c r="L3" i="1"/>
  <c r="F4" i="1"/>
  <c r="G4" i="1"/>
  <c r="H4" i="1"/>
  <c r="I4" i="1"/>
  <c r="J4" i="1"/>
  <c r="L4" i="1" s="1"/>
  <c r="K4" i="1"/>
  <c r="F5" i="1"/>
  <c r="G5" i="1"/>
  <c r="H5" i="1"/>
  <c r="I5" i="1"/>
  <c r="J5" i="1"/>
  <c r="L5" i="1" s="1"/>
  <c r="K5" i="1"/>
  <c r="F6" i="1"/>
  <c r="G6" i="1"/>
  <c r="H6" i="1"/>
  <c r="I6" i="1"/>
  <c r="J6" i="1"/>
  <c r="K6" i="1"/>
  <c r="L6" i="1"/>
  <c r="F7" i="1"/>
  <c r="G7" i="1"/>
  <c r="H7" i="1"/>
  <c r="I7" i="1"/>
  <c r="J7" i="1"/>
  <c r="L7" i="1" s="1"/>
  <c r="K7" i="1"/>
  <c r="F8" i="1"/>
  <c r="G8" i="1"/>
  <c r="H8" i="1"/>
  <c r="I8" i="1"/>
  <c r="J8" i="1"/>
  <c r="K8" i="1"/>
  <c r="L8" i="1" s="1"/>
  <c r="F9" i="1"/>
  <c r="G9" i="1"/>
  <c r="H9" i="1"/>
  <c r="I9" i="1"/>
  <c r="J9" i="1"/>
  <c r="K9" i="1"/>
  <c r="L9" i="1"/>
  <c r="F10" i="1"/>
  <c r="G10" i="1"/>
  <c r="H10" i="1"/>
  <c r="I10" i="1"/>
  <c r="J10" i="1"/>
  <c r="K10" i="1"/>
  <c r="L10" i="1" s="1"/>
  <c r="F11" i="1"/>
  <c r="G11" i="1"/>
  <c r="H11" i="1"/>
  <c r="I11" i="1"/>
  <c r="J11" i="1"/>
  <c r="K11" i="1"/>
  <c r="L11" i="1" s="1"/>
  <c r="F12" i="1"/>
  <c r="G12" i="1"/>
  <c r="H12" i="1"/>
  <c r="I12" i="1"/>
  <c r="J12" i="1"/>
  <c r="L12" i="1" s="1"/>
  <c r="K12" i="1"/>
  <c r="L2" i="1"/>
  <c r="K2" i="1"/>
  <c r="J2" i="1"/>
  <c r="I2" i="1"/>
  <c r="H2" i="1"/>
  <c r="G2" i="1"/>
  <c r="F2" i="1"/>
</calcChain>
</file>

<file path=xl/sharedStrings.xml><?xml version="1.0" encoding="utf-8"?>
<sst xmlns="http://schemas.openxmlformats.org/spreadsheetml/2006/main" count="12" uniqueCount="12">
  <si>
    <t>TP</t>
  </si>
  <si>
    <t>FP</t>
  </si>
  <si>
    <t>TN</t>
  </si>
  <si>
    <t>FN</t>
  </si>
  <si>
    <t>AUC</t>
  </si>
  <si>
    <t>SEN</t>
  </si>
  <si>
    <t>SPE</t>
  </si>
  <si>
    <t>ACC</t>
  </si>
  <si>
    <t>MCC</t>
  </si>
  <si>
    <t>precision</t>
  </si>
  <si>
    <t>recall</t>
  </si>
  <si>
    <t>f1-score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</si>
</sst>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G15" sqref="G15"/>
    </sheetView>
  </sheetViews>
  <sheetFormatPr defaultRowHeight="14.6" x14ac:dyDescent="0.4"/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4">
      <c r="A2">
        <v>757</v>
      </c>
      <c r="B2">
        <v>119</v>
      </c>
      <c r="C2">
        <v>2801</v>
      </c>
      <c r="D2">
        <v>418</v>
      </c>
      <c r="E2">
        <v>0.89926202273389666</v>
      </c>
      <c r="F2" s="3">
        <f t="shared" ref="F2" si="0">A2/(A2+D2)</f>
        <v>0.64425531914893619</v>
      </c>
      <c r="G2" s="3">
        <f t="shared" ref="G2" si="1">C2/(C2+B2)</f>
        <v>0.95924657534246571</v>
      </c>
      <c r="H2" s="3">
        <f t="shared" ref="H2" si="2">SUM(A2,C2)/SUM(A2:D2)</f>
        <v>0.86886446886446889</v>
      </c>
      <c r="I2" s="3">
        <f>((A2*C2)-(B2*D2))/SQRT((A2+B2)*(A2+D2)*(C2+B2)*(C2+D2))</f>
        <v>0.66569677862059995</v>
      </c>
      <c r="J2" s="3">
        <f>A2/(A2+B2)</f>
        <v>0.86415525114155256</v>
      </c>
      <c r="K2" s="3">
        <f>A2/(A2+D2)</f>
        <v>0.64425531914893619</v>
      </c>
      <c r="L2" s="3">
        <f>2*(J2*K2/(J2+K2))</f>
        <v>0.73817649926864948</v>
      </c>
    </row>
    <row r="3" spans="1:12" x14ac:dyDescent="0.4">
      <c r="A3">
        <v>718</v>
      </c>
      <c r="B3">
        <v>79</v>
      </c>
      <c r="C3">
        <v>2841</v>
      </c>
      <c r="D3">
        <v>457</v>
      </c>
      <c r="E3">
        <v>0.90652433692800927</v>
      </c>
      <c r="F3" s="3">
        <f t="shared" ref="F3:F12" si="3">A3/(A3+D3)</f>
        <v>0.61106382978723406</v>
      </c>
      <c r="G3" s="3">
        <f t="shared" ref="G3:G12" si="4">C3/(C3+B3)</f>
        <v>0.97294520547945207</v>
      </c>
      <c r="H3" s="3">
        <f t="shared" ref="H3:H12" si="5">SUM(A3,C3)/SUM(A3:D3)</f>
        <v>0.86910866910866913</v>
      </c>
      <c r="I3" s="3">
        <f t="shared" ref="I3:I12" si="6">((A3*C3)-(B3*D3))/SQRT((A3+B3)*(A3+D3)*(C3+B3)*(C3+D3))</f>
        <v>0.66722980647568053</v>
      </c>
      <c r="J3" s="3">
        <f t="shared" ref="J3:J12" si="7">A3/(A3+B3)</f>
        <v>0.9008782936010038</v>
      </c>
      <c r="K3" s="3">
        <f t="shared" ref="K3:K12" si="8">A3/(A3+D3)</f>
        <v>0.61106382978723406</v>
      </c>
      <c r="L3" s="3">
        <f t="shared" ref="L3:L12" si="9">2*(J3*K3/(J3+K3))</f>
        <v>0.72819472616632863</v>
      </c>
    </row>
    <row r="4" spans="1:12" x14ac:dyDescent="0.4">
      <c r="A4">
        <v>767</v>
      </c>
      <c r="B4">
        <v>117</v>
      </c>
      <c r="C4">
        <v>2803</v>
      </c>
      <c r="D4">
        <v>408</v>
      </c>
      <c r="E4">
        <v>0.91305654328184216</v>
      </c>
      <c r="F4" s="3">
        <f t="shared" si="3"/>
        <v>0.65276595744680854</v>
      </c>
      <c r="G4" s="3">
        <f t="shared" si="4"/>
        <v>0.95993150684931505</v>
      </c>
      <c r="H4" s="3">
        <f t="shared" si="5"/>
        <v>0.87179487179487181</v>
      </c>
      <c r="I4" s="3">
        <f t="shared" si="6"/>
        <v>0.67361252960080431</v>
      </c>
      <c r="J4" s="3">
        <f t="shared" si="7"/>
        <v>0.86764705882352944</v>
      </c>
      <c r="K4" s="3">
        <f t="shared" si="8"/>
        <v>0.65276595744680854</v>
      </c>
      <c r="L4" s="3">
        <f t="shared" si="9"/>
        <v>0.74502185526954845</v>
      </c>
    </row>
    <row r="5" spans="1:12" x14ac:dyDescent="0.4">
      <c r="A5">
        <v>733</v>
      </c>
      <c r="B5">
        <v>83</v>
      </c>
      <c r="C5">
        <v>2837</v>
      </c>
      <c r="D5">
        <v>442</v>
      </c>
      <c r="E5">
        <v>0.90345263771495188</v>
      </c>
      <c r="F5" s="3">
        <f t="shared" si="3"/>
        <v>0.62382978723404259</v>
      </c>
      <c r="G5" s="3">
        <f t="shared" si="4"/>
        <v>0.97157534246575339</v>
      </c>
      <c r="H5" s="3">
        <f t="shared" si="5"/>
        <v>0.87179487179487181</v>
      </c>
      <c r="I5" s="3">
        <f t="shared" si="6"/>
        <v>0.67422855723083774</v>
      </c>
      <c r="J5" s="3">
        <f t="shared" si="7"/>
        <v>0.89828431372549022</v>
      </c>
      <c r="K5" s="3">
        <f t="shared" si="8"/>
        <v>0.62382978723404259</v>
      </c>
      <c r="L5" s="3">
        <f t="shared" si="9"/>
        <v>0.7363134103465595</v>
      </c>
    </row>
    <row r="6" spans="1:12" x14ac:dyDescent="0.4">
      <c r="A6">
        <v>684</v>
      </c>
      <c r="B6">
        <v>64</v>
      </c>
      <c r="C6">
        <v>2856</v>
      </c>
      <c r="D6">
        <v>491</v>
      </c>
      <c r="E6">
        <v>0.90028971145438641</v>
      </c>
      <c r="F6" s="3">
        <f t="shared" si="3"/>
        <v>0.5821276595744681</v>
      </c>
      <c r="G6" s="3">
        <f t="shared" si="4"/>
        <v>0.9780821917808219</v>
      </c>
      <c r="H6" s="3">
        <f t="shared" si="5"/>
        <v>0.86446886446886451</v>
      </c>
      <c r="I6" s="3">
        <f t="shared" si="6"/>
        <v>0.65581666081954948</v>
      </c>
      <c r="J6" s="3">
        <f t="shared" si="7"/>
        <v>0.91443850267379678</v>
      </c>
      <c r="K6" s="3">
        <f t="shared" si="8"/>
        <v>0.5821276595744681</v>
      </c>
      <c r="L6" s="3">
        <f t="shared" si="9"/>
        <v>0.71138845553822161</v>
      </c>
    </row>
    <row r="7" spans="1:12" x14ac:dyDescent="0.4">
      <c r="A7">
        <v>743</v>
      </c>
      <c r="B7">
        <v>95</v>
      </c>
      <c r="C7">
        <v>2825</v>
      </c>
      <c r="D7">
        <v>432</v>
      </c>
      <c r="E7">
        <v>0.90743485864179529</v>
      </c>
      <c r="F7" s="3">
        <f t="shared" si="3"/>
        <v>0.63234042553191494</v>
      </c>
      <c r="G7" s="3">
        <f t="shared" si="4"/>
        <v>0.96746575342465757</v>
      </c>
      <c r="H7" s="3">
        <f t="shared" si="5"/>
        <v>0.87130647130647132</v>
      </c>
      <c r="I7" s="3">
        <f t="shared" si="6"/>
        <v>0.67249708439725764</v>
      </c>
      <c r="J7" s="3">
        <f t="shared" si="7"/>
        <v>0.88663484486873512</v>
      </c>
      <c r="K7" s="3">
        <f t="shared" si="8"/>
        <v>0.63234042553191494</v>
      </c>
      <c r="L7" s="3">
        <f t="shared" si="9"/>
        <v>0.73820168902136118</v>
      </c>
    </row>
    <row r="8" spans="1:12" x14ac:dyDescent="0.4">
      <c r="A8">
        <v>760</v>
      </c>
      <c r="B8">
        <v>132</v>
      </c>
      <c r="C8">
        <v>2788</v>
      </c>
      <c r="D8">
        <v>415</v>
      </c>
      <c r="E8">
        <v>0.90316350918099686</v>
      </c>
      <c r="F8" s="3">
        <f t="shared" si="3"/>
        <v>0.64680851063829792</v>
      </c>
      <c r="G8" s="3">
        <f t="shared" si="4"/>
        <v>0.95479452054794522</v>
      </c>
      <c r="H8" s="3">
        <f t="shared" si="5"/>
        <v>0.86642246642246645</v>
      </c>
      <c r="I8" s="3">
        <f t="shared" si="6"/>
        <v>0.65926417782223512</v>
      </c>
      <c r="J8" s="3">
        <f t="shared" si="7"/>
        <v>0.85201793721973096</v>
      </c>
      <c r="K8" s="3">
        <f t="shared" si="8"/>
        <v>0.64680851063829792</v>
      </c>
      <c r="L8" s="3">
        <f t="shared" si="9"/>
        <v>0.73536526366715049</v>
      </c>
    </row>
    <row r="9" spans="1:12" x14ac:dyDescent="0.4">
      <c r="A9">
        <v>738</v>
      </c>
      <c r="B9">
        <v>101</v>
      </c>
      <c r="C9">
        <v>2819</v>
      </c>
      <c r="D9">
        <v>437</v>
      </c>
      <c r="E9">
        <v>0.89906674438939083</v>
      </c>
      <c r="F9" s="3">
        <f t="shared" si="3"/>
        <v>0.62808510638297876</v>
      </c>
      <c r="G9" s="3">
        <f t="shared" si="4"/>
        <v>0.96541095890410955</v>
      </c>
      <c r="H9" s="3">
        <f t="shared" si="5"/>
        <v>0.86862026862026864</v>
      </c>
      <c r="I9" s="3">
        <f t="shared" si="6"/>
        <v>0.66512768415748802</v>
      </c>
      <c r="J9" s="3">
        <f t="shared" si="7"/>
        <v>0.87961859356376637</v>
      </c>
      <c r="K9" s="3">
        <f t="shared" si="8"/>
        <v>0.62808510638297876</v>
      </c>
      <c r="L9" s="3">
        <f t="shared" si="9"/>
        <v>0.73286991062562068</v>
      </c>
    </row>
    <row r="10" spans="1:12" x14ac:dyDescent="0.4">
      <c r="A10">
        <v>688</v>
      </c>
      <c r="B10">
        <v>61</v>
      </c>
      <c r="C10">
        <v>2859</v>
      </c>
      <c r="D10">
        <v>486</v>
      </c>
      <c r="E10">
        <v>0.90405708151501729</v>
      </c>
      <c r="F10" s="3">
        <f t="shared" si="3"/>
        <v>0.58603066439522999</v>
      </c>
      <c r="G10" s="3">
        <f t="shared" si="4"/>
        <v>0.97910958904109591</v>
      </c>
      <c r="H10" s="3">
        <f t="shared" si="5"/>
        <v>0.86638983878847098</v>
      </c>
      <c r="I10" s="3">
        <f t="shared" si="6"/>
        <v>0.66106284190727727</v>
      </c>
      <c r="J10" s="3">
        <f t="shared" si="7"/>
        <v>0.91855807743658213</v>
      </c>
      <c r="K10" s="3">
        <f t="shared" si="8"/>
        <v>0.58603066439522999</v>
      </c>
      <c r="L10" s="3">
        <f t="shared" si="9"/>
        <v>0.71554862194487789</v>
      </c>
    </row>
    <row r="11" spans="1:12" x14ac:dyDescent="0.4">
      <c r="A11">
        <v>750</v>
      </c>
      <c r="B11">
        <v>88</v>
      </c>
      <c r="C11">
        <v>2832</v>
      </c>
      <c r="D11">
        <v>424</v>
      </c>
      <c r="E11">
        <v>0.91537157825955062</v>
      </c>
      <c r="F11" s="3">
        <f t="shared" si="3"/>
        <v>0.63884156729131181</v>
      </c>
      <c r="G11" s="3">
        <f t="shared" si="4"/>
        <v>0.96986301369863015</v>
      </c>
      <c r="H11" s="3">
        <f t="shared" si="5"/>
        <v>0.87493893502686859</v>
      </c>
      <c r="I11" s="3">
        <f t="shared" si="6"/>
        <v>0.68228816324254971</v>
      </c>
      <c r="J11" s="3">
        <f t="shared" si="7"/>
        <v>0.8949880668257757</v>
      </c>
      <c r="K11" s="3">
        <f t="shared" si="8"/>
        <v>0.63884156729131181</v>
      </c>
      <c r="L11" s="3">
        <f t="shared" si="9"/>
        <v>0.74552683896620275</v>
      </c>
    </row>
    <row r="12" spans="1:12" x14ac:dyDescent="0.4">
      <c r="A12">
        <v>733.8</v>
      </c>
      <c r="B12">
        <v>93.9</v>
      </c>
      <c r="C12">
        <v>2826.1</v>
      </c>
      <c r="D12">
        <v>441</v>
      </c>
      <c r="E12">
        <v>0.90516790240998368</v>
      </c>
      <c r="F12" s="3">
        <f t="shared" si="3"/>
        <v>0.62461695607763024</v>
      </c>
      <c r="G12" s="3">
        <f t="shared" si="4"/>
        <v>0.96784246575342459</v>
      </c>
      <c r="H12" s="3">
        <f t="shared" si="5"/>
        <v>0.86937090944612672</v>
      </c>
      <c r="I12" s="3">
        <f t="shared" si="6"/>
        <v>0.66728953455858286</v>
      </c>
      <c r="J12" s="3">
        <f t="shared" si="7"/>
        <v>0.88655309894889456</v>
      </c>
      <c r="K12" s="3">
        <f t="shared" si="8"/>
        <v>0.62461695607763024</v>
      </c>
      <c r="L12" s="3">
        <f t="shared" si="9"/>
        <v>0.73288389513108609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2026-06-29T18:34:32Z</dcterms:created>
  <dcterms:modified xsi:type="dcterms:W3CDTF">2026-06-30T01:53:45Z</dcterms:modified>
</cp:coreProperties>
</file>