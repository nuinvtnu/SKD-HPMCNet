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1D102803-3DAB-482F-85D2-E6AF15EC637D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F4" i="1"/>
  <c r="G4" i="1"/>
  <c r="H4" i="1"/>
  <c r="I4" i="1"/>
  <c r="J4" i="1"/>
  <c r="K4" i="1"/>
  <c r="L4" i="1" s="1"/>
  <c r="F5" i="1"/>
  <c r="G5" i="1"/>
  <c r="H5" i="1"/>
  <c r="I5" i="1"/>
  <c r="J5" i="1"/>
  <c r="K5" i="1"/>
  <c r="L5" i="1" s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 s="1"/>
  <c r="F8" i="1"/>
  <c r="G8" i="1"/>
  <c r="H8" i="1"/>
  <c r="I8" i="1"/>
  <c r="J8" i="1"/>
  <c r="K8" i="1"/>
  <c r="L8" i="1"/>
  <c r="F9" i="1"/>
  <c r="G9" i="1"/>
  <c r="H9" i="1"/>
  <c r="I9" i="1"/>
  <c r="J9" i="1"/>
  <c r="L9" i="1" s="1"/>
  <c r="K9" i="1"/>
  <c r="F10" i="1"/>
  <c r="G10" i="1"/>
  <c r="H10" i="1"/>
  <c r="I10" i="1"/>
  <c r="J10" i="1"/>
  <c r="K10" i="1"/>
  <c r="L10" i="1" s="1"/>
  <c r="F11" i="1"/>
  <c r="G11" i="1"/>
  <c r="H11" i="1"/>
  <c r="I11" i="1"/>
  <c r="J11" i="1"/>
  <c r="L11" i="1" s="1"/>
  <c r="K11" i="1"/>
  <c r="F12" i="1"/>
  <c r="G12" i="1"/>
  <c r="H12" i="1"/>
  <c r="I12" i="1"/>
  <c r="J12" i="1"/>
  <c r="K12" i="1"/>
  <c r="L12" i="1"/>
  <c r="K2" i="1"/>
  <c r="J2" i="1"/>
  <c r="L2" i="1" s="1"/>
  <c r="I2" i="1"/>
  <c r="H2" i="1"/>
  <c r="G2" i="1"/>
  <c r="F2" i="1"/>
</calcChain>
</file>

<file path=xl/sharedStrings.xml><?xml version="1.0" encoding="utf-8"?>
<sst xmlns="http://schemas.openxmlformats.org/spreadsheetml/2006/main" count="12" uniqueCount="12">
  <si>
    <t>TP</t>
  </si>
  <si>
    <t>FP</t>
  </si>
  <si>
    <t>TN</t>
  </si>
  <si>
    <t>FN</t>
  </si>
  <si>
    <t>AUC</t>
  </si>
  <si>
    <t>SEN</t>
  </si>
  <si>
    <t>SPE</t>
  </si>
  <si>
    <t>ACC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</si>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</sst>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I15" sqref="I15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>
        <v>790</v>
      </c>
      <c r="B2">
        <v>147</v>
      </c>
      <c r="C2">
        <v>2773</v>
      </c>
      <c r="D2">
        <v>385</v>
      </c>
      <c r="E2">
        <v>0.89869979597784899</v>
      </c>
      <c r="F2" s="3">
        <f t="shared" ref="F2" si="0">A2/(A2+D2)</f>
        <v>0.67234042553191486</v>
      </c>
      <c r="G2" s="3">
        <f t="shared" ref="G2" si="1">C2/(C2+B2)</f>
        <v>0.9496575342465754</v>
      </c>
      <c r="H2" s="3">
        <f t="shared" ref="H2" si="2">SUM(A2,C2)/SUM(A2:D2)</f>
        <v>0.8700854700854701</v>
      </c>
      <c r="I2" s="3">
        <f>((A2*C2)-(B2*D2))/SQRT((A2+B2)*(A2+D2)*(C2+B2)*(C2+D2))</f>
        <v>0.6697665608474267</v>
      </c>
      <c r="J2" s="3">
        <f>A2/(A2+B2)</f>
        <v>0.84311632870864461</v>
      </c>
      <c r="K2" s="3">
        <f>A2/(A2+D2)</f>
        <v>0.67234042553191486</v>
      </c>
      <c r="L2" s="3">
        <f>2*(J2*K2/(J2+K2))</f>
        <v>0.74810606060606066</v>
      </c>
    </row>
    <row r="3" spans="1:12" x14ac:dyDescent="0.4">
      <c r="A3">
        <v>765</v>
      </c>
      <c r="B3">
        <v>123</v>
      </c>
      <c r="C3">
        <v>2797</v>
      </c>
      <c r="D3">
        <v>410</v>
      </c>
      <c r="E3">
        <v>0.9015330807344798</v>
      </c>
      <c r="F3" s="3">
        <f t="shared" ref="F3:F12" si="3">A3/(A3+D3)</f>
        <v>0.65106382978723409</v>
      </c>
      <c r="G3" s="3">
        <f t="shared" ref="G3:G12" si="4">C3/(C3+B3)</f>
        <v>0.95787671232876714</v>
      </c>
      <c r="H3" s="3">
        <f t="shared" ref="H3:H12" si="5">SUM(A3,C3)/SUM(A3:D3)</f>
        <v>0.86984126984126986</v>
      </c>
      <c r="I3" s="3">
        <f t="shared" ref="I3:I12" si="6">((A3*C3)-(B3*D3))/SQRT((A3+B3)*(A3+D3)*(C3+B3)*(C3+D3))</f>
        <v>0.66838898740301844</v>
      </c>
      <c r="J3" s="3">
        <f t="shared" ref="J3:J12" si="7">A3/(A3+B3)</f>
        <v>0.86148648648648651</v>
      </c>
      <c r="K3" s="3">
        <f t="shared" ref="K3:K12" si="8">A3/(A3+D3)</f>
        <v>0.65106382978723409</v>
      </c>
      <c r="L3" s="3">
        <f t="shared" ref="L3:L12" si="9">2*(J3*K3/(J3+K3))</f>
        <v>0.74163839069316528</v>
      </c>
    </row>
    <row r="4" spans="1:12" x14ac:dyDescent="0.4">
      <c r="A4">
        <v>796</v>
      </c>
      <c r="B4">
        <v>158</v>
      </c>
      <c r="C4">
        <v>2762</v>
      </c>
      <c r="D4">
        <v>379</v>
      </c>
      <c r="E4">
        <v>0.91467618770037884</v>
      </c>
      <c r="F4" s="3">
        <f t="shared" si="3"/>
        <v>0.67744680851063832</v>
      </c>
      <c r="G4" s="3">
        <f t="shared" si="4"/>
        <v>0.94589041095890414</v>
      </c>
      <c r="H4" s="3">
        <f t="shared" si="5"/>
        <v>0.86886446886446889</v>
      </c>
      <c r="I4" s="3">
        <f t="shared" si="6"/>
        <v>0.66699912297255359</v>
      </c>
      <c r="J4" s="3">
        <f t="shared" si="7"/>
        <v>0.83438155136268344</v>
      </c>
      <c r="K4" s="3">
        <f t="shared" si="8"/>
        <v>0.67744680851063832</v>
      </c>
      <c r="L4" s="3">
        <f t="shared" si="9"/>
        <v>0.74776890558947862</v>
      </c>
    </row>
    <row r="5" spans="1:12" x14ac:dyDescent="0.4">
      <c r="A5">
        <v>751</v>
      </c>
      <c r="B5">
        <v>110</v>
      </c>
      <c r="C5">
        <v>2810</v>
      </c>
      <c r="D5">
        <v>424</v>
      </c>
      <c r="E5">
        <v>0.89990032060623726</v>
      </c>
      <c r="F5" s="3">
        <f t="shared" si="3"/>
        <v>0.63914893617021273</v>
      </c>
      <c r="G5" s="3">
        <f t="shared" si="4"/>
        <v>0.96232876712328763</v>
      </c>
      <c r="H5" s="3">
        <f t="shared" si="5"/>
        <v>0.86959706959706962</v>
      </c>
      <c r="I5" s="3">
        <f t="shared" si="6"/>
        <v>0.66766453538568948</v>
      </c>
      <c r="J5" s="3">
        <f t="shared" si="7"/>
        <v>0.87224157955865278</v>
      </c>
      <c r="K5" s="3">
        <f t="shared" si="8"/>
        <v>0.63914893617021273</v>
      </c>
      <c r="L5" s="3">
        <f t="shared" si="9"/>
        <v>0.73772102161100195</v>
      </c>
    </row>
    <row r="6" spans="1:12" x14ac:dyDescent="0.4">
      <c r="A6">
        <v>734</v>
      </c>
      <c r="B6">
        <v>114</v>
      </c>
      <c r="C6">
        <v>2806</v>
      </c>
      <c r="D6">
        <v>441</v>
      </c>
      <c r="E6">
        <v>0.89275167589624005</v>
      </c>
      <c r="F6" s="3">
        <f t="shared" si="3"/>
        <v>0.62468085106382976</v>
      </c>
      <c r="G6" s="3">
        <f t="shared" si="4"/>
        <v>0.96095890410958906</v>
      </c>
      <c r="H6" s="3">
        <f t="shared" si="5"/>
        <v>0.86446886446886451</v>
      </c>
      <c r="I6" s="3">
        <f t="shared" si="6"/>
        <v>0.6537351534206769</v>
      </c>
      <c r="J6" s="3">
        <f t="shared" si="7"/>
        <v>0.86556603773584906</v>
      </c>
      <c r="K6" s="3">
        <f t="shared" si="8"/>
        <v>0.62468085106382976</v>
      </c>
      <c r="L6" s="3">
        <f t="shared" si="9"/>
        <v>0.72565496786950068</v>
      </c>
    </row>
    <row r="7" spans="1:12" x14ac:dyDescent="0.4">
      <c r="A7">
        <v>791</v>
      </c>
      <c r="B7">
        <v>118</v>
      </c>
      <c r="C7">
        <v>2802</v>
      </c>
      <c r="D7">
        <v>384</v>
      </c>
      <c r="E7">
        <v>0.90780676187700382</v>
      </c>
      <c r="F7" s="3">
        <f t="shared" si="3"/>
        <v>0.67319148936170214</v>
      </c>
      <c r="G7" s="3">
        <f t="shared" si="4"/>
        <v>0.95958904109589038</v>
      </c>
      <c r="H7" s="3">
        <f t="shared" si="5"/>
        <v>0.8774114774114774</v>
      </c>
      <c r="I7" s="3">
        <f t="shared" si="6"/>
        <v>0.68874528677418456</v>
      </c>
      <c r="J7" s="3">
        <f t="shared" si="7"/>
        <v>0.87018701870187021</v>
      </c>
      <c r="K7" s="3">
        <f t="shared" si="8"/>
        <v>0.67319148936170214</v>
      </c>
      <c r="L7" s="3">
        <f t="shared" si="9"/>
        <v>0.75911708253358923</v>
      </c>
    </row>
    <row r="8" spans="1:12" x14ac:dyDescent="0.4">
      <c r="A8">
        <v>750</v>
      </c>
      <c r="B8">
        <v>125</v>
      </c>
      <c r="C8">
        <v>2795</v>
      </c>
      <c r="D8">
        <v>425</v>
      </c>
      <c r="E8">
        <v>0.90313815214223259</v>
      </c>
      <c r="F8" s="3">
        <f t="shared" si="3"/>
        <v>0.63829787234042556</v>
      </c>
      <c r="G8" s="3">
        <f t="shared" si="4"/>
        <v>0.9571917808219178</v>
      </c>
      <c r="H8" s="3">
        <f t="shared" si="5"/>
        <v>0.86568986568986572</v>
      </c>
      <c r="I8" s="3">
        <f t="shared" si="6"/>
        <v>0.65713200034707375</v>
      </c>
      <c r="J8" s="3">
        <f t="shared" si="7"/>
        <v>0.8571428571428571</v>
      </c>
      <c r="K8" s="3">
        <f t="shared" si="8"/>
        <v>0.63829787234042556</v>
      </c>
      <c r="L8" s="3">
        <f t="shared" si="9"/>
        <v>0.73170731707317072</v>
      </c>
    </row>
    <row r="9" spans="1:12" x14ac:dyDescent="0.4">
      <c r="A9">
        <v>764</v>
      </c>
      <c r="B9">
        <v>162</v>
      </c>
      <c r="C9">
        <v>2758</v>
      </c>
      <c r="D9">
        <v>411</v>
      </c>
      <c r="E9">
        <v>0.89306412124744972</v>
      </c>
      <c r="F9" s="3">
        <f t="shared" si="3"/>
        <v>0.65021276595744681</v>
      </c>
      <c r="G9" s="3">
        <f t="shared" si="4"/>
        <v>0.94452054794520546</v>
      </c>
      <c r="H9" s="3">
        <f t="shared" si="5"/>
        <v>0.86007326007326013</v>
      </c>
      <c r="I9" s="3">
        <f t="shared" si="6"/>
        <v>0.64308149426069261</v>
      </c>
      <c r="J9" s="3">
        <f t="shared" si="7"/>
        <v>0.82505399568034554</v>
      </c>
      <c r="K9" s="3">
        <f t="shared" si="8"/>
        <v>0.65021276595744681</v>
      </c>
      <c r="L9" s="3">
        <f t="shared" si="9"/>
        <v>0.72727272727272729</v>
      </c>
    </row>
    <row r="10" spans="1:12" x14ac:dyDescent="0.4">
      <c r="A10">
        <v>767</v>
      </c>
      <c r="B10">
        <v>135</v>
      </c>
      <c r="C10">
        <v>2785</v>
      </c>
      <c r="D10">
        <v>407</v>
      </c>
      <c r="E10">
        <v>0.90358859769900346</v>
      </c>
      <c r="F10" s="3">
        <f t="shared" si="3"/>
        <v>0.65332197614991483</v>
      </c>
      <c r="G10" s="3">
        <f t="shared" si="4"/>
        <v>0.95376712328767121</v>
      </c>
      <c r="H10" s="3">
        <f t="shared" si="5"/>
        <v>0.86761113825109915</v>
      </c>
      <c r="I10" s="3">
        <f t="shared" si="6"/>
        <v>0.66243489103599296</v>
      </c>
      <c r="J10" s="3">
        <f t="shared" si="7"/>
        <v>0.85033259423503327</v>
      </c>
      <c r="K10" s="3">
        <f t="shared" si="8"/>
        <v>0.65332197614991483</v>
      </c>
      <c r="L10" s="3">
        <f t="shared" si="9"/>
        <v>0.73892100192678223</v>
      </c>
    </row>
    <row r="11" spans="1:12" x14ac:dyDescent="0.4">
      <c r="A11">
        <v>791</v>
      </c>
      <c r="B11">
        <v>125</v>
      </c>
      <c r="C11">
        <v>2795</v>
      </c>
      <c r="D11">
        <v>383</v>
      </c>
      <c r="E11">
        <v>0.91444890434295578</v>
      </c>
      <c r="F11" s="3">
        <f t="shared" si="3"/>
        <v>0.67376490630323682</v>
      </c>
      <c r="G11" s="3">
        <f t="shared" si="4"/>
        <v>0.9571917808219178</v>
      </c>
      <c r="H11" s="3">
        <f t="shared" si="5"/>
        <v>0.87591597459697113</v>
      </c>
      <c r="I11" s="3">
        <f t="shared" si="6"/>
        <v>0.684700016677944</v>
      </c>
      <c r="J11" s="3">
        <f t="shared" si="7"/>
        <v>0.86353711790393017</v>
      </c>
      <c r="K11" s="3">
        <f t="shared" si="8"/>
        <v>0.67376490630323682</v>
      </c>
      <c r="L11" s="3">
        <f t="shared" si="9"/>
        <v>0.75693779904306224</v>
      </c>
    </row>
    <row r="12" spans="1:12" x14ac:dyDescent="0.4">
      <c r="A12">
        <v>769.9</v>
      </c>
      <c r="B12">
        <v>131.69999999999999</v>
      </c>
      <c r="C12">
        <v>2788.3</v>
      </c>
      <c r="D12">
        <v>404.9</v>
      </c>
      <c r="E12">
        <v>0.90296075982238322</v>
      </c>
      <c r="F12" s="3">
        <f t="shared" si="3"/>
        <v>0.65534559073884913</v>
      </c>
      <c r="G12" s="3">
        <f t="shared" si="4"/>
        <v>0.9548972602739727</v>
      </c>
      <c r="H12" s="3">
        <f t="shared" si="5"/>
        <v>0.86895574875451798</v>
      </c>
      <c r="I12" s="3">
        <f t="shared" si="6"/>
        <v>0.66612553675198471</v>
      </c>
      <c r="J12" s="3">
        <f t="shared" si="7"/>
        <v>0.85392635314995569</v>
      </c>
      <c r="K12" s="3">
        <f t="shared" si="8"/>
        <v>0.65534559073884913</v>
      </c>
      <c r="L12" s="3">
        <f t="shared" si="9"/>
        <v>0.74157195145444033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2026-06-29T19:46:13Z</dcterms:created>
  <dcterms:modified xsi:type="dcterms:W3CDTF">2026-06-30T01:52:05Z</dcterms:modified>
</cp:coreProperties>
</file>