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bsolute\"/>
    </mc:Choice>
  </mc:AlternateContent>
  <xr:revisionPtr revIDLastSave="0" documentId="13_ncr:1_{64548D7A-0DA5-4201-8351-78A981FF1318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J3" i="1"/>
  <c r="L3" i="1" s="1"/>
  <c r="K3" i="1"/>
  <c r="F4" i="1"/>
  <c r="G4" i="1"/>
  <c r="H4" i="1"/>
  <c r="I4" i="1"/>
  <c r="J4" i="1"/>
  <c r="L4" i="1" s="1"/>
  <c r="K4" i="1"/>
  <c r="F5" i="1"/>
  <c r="G5" i="1"/>
  <c r="H5" i="1"/>
  <c r="I5" i="1"/>
  <c r="J5" i="1"/>
  <c r="L5" i="1" s="1"/>
  <c r="K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 s="1"/>
  <c r="F8" i="1"/>
  <c r="G8" i="1"/>
  <c r="H8" i="1"/>
  <c r="I8" i="1"/>
  <c r="J8" i="1"/>
  <c r="K8" i="1"/>
  <c r="L8" i="1"/>
  <c r="F9" i="1"/>
  <c r="G9" i="1"/>
  <c r="H9" i="1"/>
  <c r="I9" i="1"/>
  <c r="J9" i="1"/>
  <c r="L9" i="1" s="1"/>
  <c r="K9" i="1"/>
  <c r="F10" i="1"/>
  <c r="G10" i="1"/>
  <c r="H10" i="1"/>
  <c r="I10" i="1"/>
  <c r="J10" i="1"/>
  <c r="K10" i="1"/>
  <c r="L10" i="1" s="1"/>
  <c r="F11" i="1"/>
  <c r="G11" i="1"/>
  <c r="H11" i="1"/>
  <c r="I11" i="1"/>
  <c r="J11" i="1"/>
  <c r="L11" i="1" s="1"/>
  <c r="K11" i="1"/>
  <c r="F12" i="1"/>
  <c r="G12" i="1"/>
  <c r="H12" i="1"/>
  <c r="I12" i="1"/>
  <c r="J12" i="1"/>
  <c r="L12" i="1" s="1"/>
  <c r="K12" i="1"/>
  <c r="K2" i="1"/>
  <c r="J2" i="1"/>
  <c r="L2" i="1" s="1"/>
  <c r="I2" i="1"/>
  <c r="H2" i="1"/>
  <c r="G2" i="1"/>
  <c r="F2" i="1"/>
</calcChain>
</file>

<file path=xl/sharedStrings.xml><?xml version="1.0" encoding="utf-8"?>
<sst xmlns="http://schemas.openxmlformats.org/spreadsheetml/2006/main" count="12" uniqueCount="12">
  <si>
    <t>TP</t>
  </si>
  <si>
    <t>FP</t>
  </si>
  <si>
    <t>TN</t>
  </si>
  <si>
    <t>FN</t>
  </si>
  <si>
    <t>AUC</t>
  </si>
  <si>
    <t>SEN</t>
  </si>
  <si>
    <t>SPE</t>
  </si>
  <si>
    <t>ACC</t>
  </si>
  <si>
    <t>MCC</t>
  </si>
  <si>
    <t>precision</t>
  </si>
  <si>
    <t>recall</t>
  </si>
  <si>
    <t>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</si>
</sst>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I16" sqref="I16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>
        <v>830</v>
      </c>
      <c r="B2">
        <v>200</v>
      </c>
      <c r="C2">
        <v>2720</v>
      </c>
      <c r="D2">
        <v>345</v>
      </c>
      <c r="E2">
        <v>0.89261527251530159</v>
      </c>
      <c r="F2" s="3">
        <f t="shared" ref="F2" si="0">A2/(A2+D2)</f>
        <v>0.70638297872340428</v>
      </c>
      <c r="G2" s="3">
        <f t="shared" ref="G2" si="1">C2/(C2+B2)</f>
        <v>0.93150684931506844</v>
      </c>
      <c r="H2" s="3">
        <f t="shared" ref="H2" si="2">SUM(A2,C2)/SUM(A2:D2)</f>
        <v>0.86691086691086694</v>
      </c>
      <c r="I2" s="3">
        <f>((A2*C2)-(B2*D2))/SQRT((A2+B2)*(A2+D2)*(C2+B2)*(C2+D2))</f>
        <v>0.66500082498320101</v>
      </c>
      <c r="J2" s="3">
        <f>A2/(A2+B2)</f>
        <v>0.80582524271844658</v>
      </c>
      <c r="K2" s="3">
        <f>A2/(A2+D2)</f>
        <v>0.70638297872340428</v>
      </c>
      <c r="L2" s="3">
        <f>2*(J2*K2/(J2+K2))</f>
        <v>0.75283446712018143</v>
      </c>
    </row>
    <row r="3" spans="1:12" x14ac:dyDescent="0.4">
      <c r="A3">
        <v>803</v>
      </c>
      <c r="B3">
        <v>189</v>
      </c>
      <c r="C3">
        <v>2731</v>
      </c>
      <c r="D3">
        <v>372</v>
      </c>
      <c r="E3">
        <v>0.90254561352375406</v>
      </c>
      <c r="F3" s="3">
        <f t="shared" ref="F3:F12" si="3">A3/(A3+D3)</f>
        <v>0.68340425531914895</v>
      </c>
      <c r="G3" s="3">
        <f t="shared" ref="G3:G12" si="4">C3/(C3+B3)</f>
        <v>0.9352739726027397</v>
      </c>
      <c r="H3" s="3">
        <f t="shared" ref="H3:H12" si="5">SUM(A3,C3)/SUM(A3:D3)</f>
        <v>0.86300366300366305</v>
      </c>
      <c r="I3" s="3">
        <f t="shared" ref="I3:I12" si="6">((A3*C3)-(B3*D3))/SQRT((A3+B3)*(A3+D3)*(C3+B3)*(C3+D3))</f>
        <v>0.65317336685808991</v>
      </c>
      <c r="J3" s="3">
        <f t="shared" ref="J3:J12" si="7">A3/(A3+B3)</f>
        <v>0.80947580645161288</v>
      </c>
      <c r="K3" s="3">
        <f t="shared" ref="K3:K12" si="8">A3/(A3+D3)</f>
        <v>0.68340425531914895</v>
      </c>
      <c r="L3" s="3">
        <f t="shared" ref="L3:L12" si="9">2*(J3*K3/(J3+K3))</f>
        <v>0.74111675126903553</v>
      </c>
    </row>
    <row r="4" spans="1:12" x14ac:dyDescent="0.4">
      <c r="A4">
        <v>873</v>
      </c>
      <c r="B4">
        <v>266</v>
      </c>
      <c r="C4">
        <v>2654</v>
      </c>
      <c r="D4">
        <v>302</v>
      </c>
      <c r="E4">
        <v>0.91060230253570384</v>
      </c>
      <c r="F4" s="3">
        <f t="shared" si="3"/>
        <v>0.7429787234042553</v>
      </c>
      <c r="G4" s="3">
        <f t="shared" si="4"/>
        <v>0.90890410958904111</v>
      </c>
      <c r="H4" s="3">
        <f t="shared" si="5"/>
        <v>0.86129426129426134</v>
      </c>
      <c r="I4" s="3">
        <f t="shared" si="6"/>
        <v>0.65806050497180324</v>
      </c>
      <c r="J4" s="3">
        <f t="shared" si="7"/>
        <v>0.76646180860403867</v>
      </c>
      <c r="K4" s="3">
        <f t="shared" si="8"/>
        <v>0.7429787234042553</v>
      </c>
      <c r="L4" s="3">
        <f t="shared" si="9"/>
        <v>0.75453759723422642</v>
      </c>
    </row>
    <row r="5" spans="1:12" x14ac:dyDescent="0.4">
      <c r="A5">
        <v>682</v>
      </c>
      <c r="B5">
        <v>169</v>
      </c>
      <c r="C5">
        <v>2751</v>
      </c>
      <c r="D5">
        <v>493</v>
      </c>
      <c r="E5">
        <v>0.86606004080443022</v>
      </c>
      <c r="F5" s="3">
        <f t="shared" si="3"/>
        <v>0.58042553191489366</v>
      </c>
      <c r="G5" s="3">
        <f t="shared" si="4"/>
        <v>0.94212328767123288</v>
      </c>
      <c r="H5" s="3">
        <f t="shared" si="5"/>
        <v>0.83833943833943836</v>
      </c>
      <c r="I5" s="3">
        <f t="shared" si="6"/>
        <v>0.58254841805198543</v>
      </c>
      <c r="J5" s="3">
        <f t="shared" si="7"/>
        <v>0.80141010575793181</v>
      </c>
      <c r="K5" s="3">
        <f t="shared" si="8"/>
        <v>0.58042553191489366</v>
      </c>
      <c r="L5" s="3">
        <f t="shared" si="9"/>
        <v>0.67324777887462983</v>
      </c>
    </row>
    <row r="6" spans="1:12" x14ac:dyDescent="0.4">
      <c r="A6">
        <v>890</v>
      </c>
      <c r="B6">
        <v>314</v>
      </c>
      <c r="C6">
        <v>2606</v>
      </c>
      <c r="D6">
        <v>285</v>
      </c>
      <c r="E6">
        <v>0.90869484115418242</v>
      </c>
      <c r="F6" s="3">
        <f t="shared" si="3"/>
        <v>0.75744680851063828</v>
      </c>
      <c r="G6" s="3">
        <f t="shared" si="4"/>
        <v>0.8924657534246575</v>
      </c>
      <c r="H6" s="3">
        <f t="shared" si="5"/>
        <v>0.85372405372405369</v>
      </c>
      <c r="I6" s="3">
        <f t="shared" si="6"/>
        <v>0.64524998201076045</v>
      </c>
      <c r="J6" s="3">
        <f t="shared" si="7"/>
        <v>0.73920265780730898</v>
      </c>
      <c r="K6" s="3">
        <f t="shared" si="8"/>
        <v>0.75744680851063828</v>
      </c>
      <c r="L6" s="3">
        <f t="shared" si="9"/>
        <v>0.74821353509878097</v>
      </c>
    </row>
    <row r="7" spans="1:12" x14ac:dyDescent="0.4">
      <c r="A7">
        <v>866</v>
      </c>
      <c r="B7">
        <v>250</v>
      </c>
      <c r="C7">
        <v>2670</v>
      </c>
      <c r="D7">
        <v>309</v>
      </c>
      <c r="E7">
        <v>0.90747274846983395</v>
      </c>
      <c r="F7" s="3">
        <f t="shared" si="3"/>
        <v>0.73702127659574468</v>
      </c>
      <c r="G7" s="3">
        <f t="shared" si="4"/>
        <v>0.91438356164383561</v>
      </c>
      <c r="H7" s="3">
        <f t="shared" si="5"/>
        <v>0.86349206349206353</v>
      </c>
      <c r="I7" s="3">
        <f t="shared" si="6"/>
        <v>0.66175006104530953</v>
      </c>
      <c r="J7" s="3">
        <f t="shared" si="7"/>
        <v>0.77598566308243733</v>
      </c>
      <c r="K7" s="3">
        <f t="shared" si="8"/>
        <v>0.73702127659574468</v>
      </c>
      <c r="L7" s="3">
        <f t="shared" si="9"/>
        <v>0.75600174596246184</v>
      </c>
    </row>
    <row r="8" spans="1:12" x14ac:dyDescent="0.4">
      <c r="A8">
        <v>848</v>
      </c>
      <c r="B8">
        <v>251</v>
      </c>
      <c r="C8">
        <v>2669</v>
      </c>
      <c r="D8">
        <v>327</v>
      </c>
      <c r="E8">
        <v>0.90186243077819883</v>
      </c>
      <c r="F8" s="3">
        <f t="shared" si="3"/>
        <v>0.72170212765957442</v>
      </c>
      <c r="G8" s="3">
        <f t="shared" si="4"/>
        <v>0.91404109589041094</v>
      </c>
      <c r="H8" s="3">
        <f t="shared" si="5"/>
        <v>0.8588522588522588</v>
      </c>
      <c r="I8" s="3">
        <f t="shared" si="6"/>
        <v>0.64896660329061062</v>
      </c>
      <c r="J8" s="3">
        <f t="shared" si="7"/>
        <v>0.7716105550500455</v>
      </c>
      <c r="K8" s="3">
        <f t="shared" si="8"/>
        <v>0.72170212765957442</v>
      </c>
      <c r="L8" s="3">
        <f t="shared" si="9"/>
        <v>0.74582233948988563</v>
      </c>
    </row>
    <row r="9" spans="1:12" x14ac:dyDescent="0.4">
      <c r="A9">
        <v>765</v>
      </c>
      <c r="B9">
        <v>259</v>
      </c>
      <c r="C9">
        <v>2661</v>
      </c>
      <c r="D9">
        <v>410</v>
      </c>
      <c r="E9">
        <v>0.86763538327018375</v>
      </c>
      <c r="F9" s="3">
        <f t="shared" si="3"/>
        <v>0.65106382978723409</v>
      </c>
      <c r="G9" s="3">
        <f t="shared" si="4"/>
        <v>0.91130136986301369</v>
      </c>
      <c r="H9" s="3">
        <f t="shared" si="5"/>
        <v>0.83663003663003666</v>
      </c>
      <c r="I9" s="3">
        <f t="shared" si="6"/>
        <v>0.58740671955874513</v>
      </c>
      <c r="J9" s="3">
        <f t="shared" si="7"/>
        <v>0.7470703125</v>
      </c>
      <c r="K9" s="3">
        <f t="shared" si="8"/>
        <v>0.65106382978723409</v>
      </c>
      <c r="L9" s="3">
        <f t="shared" si="9"/>
        <v>0.69577080491132326</v>
      </c>
    </row>
    <row r="10" spans="1:12" x14ac:dyDescent="0.4">
      <c r="A10">
        <v>779</v>
      </c>
      <c r="B10">
        <v>175</v>
      </c>
      <c r="C10">
        <v>2745</v>
      </c>
      <c r="D10">
        <v>395</v>
      </c>
      <c r="E10">
        <v>0.89902715222515228</v>
      </c>
      <c r="F10" s="3">
        <f t="shared" si="3"/>
        <v>0.66354344122657583</v>
      </c>
      <c r="G10" s="3">
        <f t="shared" si="4"/>
        <v>0.94006849315068497</v>
      </c>
      <c r="H10" s="3">
        <f t="shared" si="5"/>
        <v>0.86077186126038108</v>
      </c>
      <c r="I10" s="3">
        <f t="shared" si="6"/>
        <v>0.64572006331645282</v>
      </c>
      <c r="J10" s="3">
        <f t="shared" si="7"/>
        <v>0.81656184486373162</v>
      </c>
      <c r="K10" s="3">
        <f t="shared" si="8"/>
        <v>0.66354344122657583</v>
      </c>
      <c r="L10" s="3">
        <f t="shared" si="9"/>
        <v>0.7321428571428571</v>
      </c>
    </row>
    <row r="11" spans="1:12" x14ac:dyDescent="0.4">
      <c r="A11">
        <v>891</v>
      </c>
      <c r="B11">
        <v>269</v>
      </c>
      <c r="C11">
        <v>2651</v>
      </c>
      <c r="D11">
        <v>283</v>
      </c>
      <c r="E11">
        <v>0.90849571771953974</v>
      </c>
      <c r="F11" s="3">
        <f t="shared" si="3"/>
        <v>0.75894378194207834</v>
      </c>
      <c r="G11" s="3">
        <f t="shared" si="4"/>
        <v>0.9078767123287671</v>
      </c>
      <c r="H11" s="3">
        <f t="shared" si="5"/>
        <v>0.8651685393258427</v>
      </c>
      <c r="I11" s="3">
        <f t="shared" si="6"/>
        <v>0.6692299426683147</v>
      </c>
      <c r="J11" s="3">
        <f t="shared" si="7"/>
        <v>0.76810344827586208</v>
      </c>
      <c r="K11" s="3">
        <f t="shared" si="8"/>
        <v>0.75894378194207834</v>
      </c>
      <c r="L11" s="3">
        <f t="shared" si="9"/>
        <v>0.763496143958869</v>
      </c>
    </row>
    <row r="12" spans="1:12" x14ac:dyDescent="0.4">
      <c r="A12">
        <v>822.7</v>
      </c>
      <c r="B12">
        <v>234.2</v>
      </c>
      <c r="C12">
        <v>2685.8</v>
      </c>
      <c r="D12">
        <v>352.1</v>
      </c>
      <c r="E12">
        <v>0.89650115029962796</v>
      </c>
      <c r="F12" s="3">
        <f t="shared" si="3"/>
        <v>0.70028941096356823</v>
      </c>
      <c r="G12" s="3">
        <f t="shared" si="4"/>
        <v>0.9197945205479453</v>
      </c>
      <c r="H12" s="3">
        <f t="shared" si="5"/>
        <v>0.85681840382924679</v>
      </c>
      <c r="I12" s="3">
        <f t="shared" si="6"/>
        <v>0.64094414731963634</v>
      </c>
      <c r="J12" s="3">
        <f t="shared" si="7"/>
        <v>0.77840855331630232</v>
      </c>
      <c r="K12" s="3">
        <f t="shared" si="8"/>
        <v>0.70028941096356823</v>
      </c>
      <c r="L12" s="3">
        <f t="shared" si="9"/>
        <v>0.73728547743872386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2026-06-29T19:34:31Z</dcterms:created>
  <dcterms:modified xsi:type="dcterms:W3CDTF">2026-06-30T01:52:23Z</dcterms:modified>
</cp:coreProperties>
</file>