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bsolute\"/>
    </mc:Choice>
  </mc:AlternateContent>
  <xr:revisionPtr revIDLastSave="0" documentId="13_ncr:1_{85FDC688-F129-4105-A917-4448CFEBDC52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 s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 s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 s="1"/>
  <c r="F8" i="1"/>
  <c r="G8" i="1"/>
  <c r="H8" i="1"/>
  <c r="I8" i="1"/>
  <c r="J8" i="1"/>
  <c r="K8" i="1"/>
  <c r="L8" i="1"/>
  <c r="F9" i="1"/>
  <c r="G9" i="1"/>
  <c r="H9" i="1"/>
  <c r="I9" i="1"/>
  <c r="J9" i="1"/>
  <c r="L9" i="1" s="1"/>
  <c r="K9" i="1"/>
  <c r="F10" i="1"/>
  <c r="G10" i="1"/>
  <c r="H10" i="1"/>
  <c r="I10" i="1"/>
  <c r="J10" i="1"/>
  <c r="L10" i="1" s="1"/>
  <c r="K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K2" i="1"/>
  <c r="J2" i="1"/>
  <c r="L2" i="1" s="1"/>
  <c r="I2" i="1"/>
  <c r="H2" i="1"/>
  <c r="G2" i="1"/>
  <c r="F2" i="1"/>
</calcChain>
</file>

<file path=xl/sharedStrings.xml><?xml version="1.0" encoding="utf-8"?>
<sst xmlns="http://schemas.openxmlformats.org/spreadsheetml/2006/main" count="12" uniqueCount="12">
  <si>
    <t>TP</t>
  </si>
  <si>
    <t>FP</t>
  </si>
  <si>
    <t>TN</t>
  </si>
  <si>
    <t>FN</t>
  </si>
  <si>
    <t>AUC</t>
  </si>
  <si>
    <t>SEN</t>
  </si>
  <si>
    <t>SPE</t>
  </si>
  <si>
    <t>ACC</t>
  </si>
  <si>
    <t>MCC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</si>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</sst>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H19" sqref="H19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4">
      <c r="A2">
        <v>809</v>
      </c>
      <c r="B2">
        <v>166</v>
      </c>
      <c r="C2">
        <v>2754</v>
      </c>
      <c r="D2">
        <v>366</v>
      </c>
      <c r="E2">
        <v>0.89860448848732155</v>
      </c>
      <c r="F2" s="3">
        <f t="shared" ref="F2" si="0">A2/(A2+D2)</f>
        <v>0.68851063829787229</v>
      </c>
      <c r="G2" s="3">
        <f t="shared" ref="G2" si="1">C2/(C2+B2)</f>
        <v>0.94315068493150689</v>
      </c>
      <c r="H2" s="3">
        <f t="shared" ref="H2" si="2">SUM(A2,C2)/SUM(A2:D2)</f>
        <v>0.8700854700854701</v>
      </c>
      <c r="I2" s="3">
        <f>((A2*C2)-(B2*D2))/SQRT((A2+B2)*(A2+D2)*(C2+B2)*(C2+D2))</f>
        <v>0.67083395985181693</v>
      </c>
      <c r="J2" s="3">
        <f>A2/(A2+B2)</f>
        <v>0.82974358974358975</v>
      </c>
      <c r="K2" s="3">
        <f t="shared" ref="K2" si="3">A2/(A2+D2)</f>
        <v>0.68851063829787229</v>
      </c>
      <c r="L2" s="3">
        <f t="shared" ref="L2" si="4">2*(J2*K2/(J2+K2))</f>
        <v>0.75255813953488382</v>
      </c>
    </row>
    <row r="3" spans="1:12" x14ac:dyDescent="0.4">
      <c r="A3">
        <v>797</v>
      </c>
      <c r="B3">
        <v>178</v>
      </c>
      <c r="C3">
        <v>2742</v>
      </c>
      <c r="D3">
        <v>378</v>
      </c>
      <c r="E3">
        <v>0.90269863013698637</v>
      </c>
      <c r="F3" s="3">
        <f t="shared" ref="F3:F12" si="5">A3/(A3+D3)</f>
        <v>0.67829787234042549</v>
      </c>
      <c r="G3" s="3">
        <f t="shared" ref="G3:G12" si="6">C3/(C3+B3)</f>
        <v>0.93904109589041096</v>
      </c>
      <c r="H3" s="3">
        <f t="shared" ref="H3:H12" si="7">SUM(A3,C3)/SUM(A3:D3)</f>
        <v>0.86422466422466426</v>
      </c>
      <c r="I3" s="3">
        <f t="shared" ref="I3:I12" si="8">((A3*C3)-(B3*D3))/SQRT((A3+B3)*(A3+D3)*(C3+B3)*(C3+D3))</f>
        <v>0.6556234003878384</v>
      </c>
      <c r="J3" s="3">
        <f t="shared" ref="J3:J12" si="9">A3/(A3+B3)</f>
        <v>0.8174358974358974</v>
      </c>
      <c r="K3" s="3">
        <f t="shared" ref="K3:K12" si="10">A3/(A3+D3)</f>
        <v>0.67829787234042549</v>
      </c>
      <c r="L3" s="3">
        <f t="shared" ref="L3:L12" si="11">2*(J3*K3/(J3+K3))</f>
        <v>0.74139534883720926</v>
      </c>
    </row>
    <row r="4" spans="1:12" x14ac:dyDescent="0.4">
      <c r="A4">
        <v>819</v>
      </c>
      <c r="B4">
        <v>195</v>
      </c>
      <c r="C4">
        <v>2725</v>
      </c>
      <c r="D4">
        <v>356</v>
      </c>
      <c r="E4">
        <v>0.91147886913436316</v>
      </c>
      <c r="F4" s="3">
        <f t="shared" si="5"/>
        <v>0.69702127659574464</v>
      </c>
      <c r="G4" s="3">
        <f t="shared" si="6"/>
        <v>0.93321917808219179</v>
      </c>
      <c r="H4" s="3">
        <f t="shared" si="7"/>
        <v>0.86544566544566548</v>
      </c>
      <c r="I4" s="3">
        <f t="shared" si="8"/>
        <v>0.66046804330128872</v>
      </c>
      <c r="J4" s="3">
        <f t="shared" si="9"/>
        <v>0.80769230769230771</v>
      </c>
      <c r="K4" s="3">
        <f t="shared" si="10"/>
        <v>0.69702127659574464</v>
      </c>
      <c r="L4" s="3">
        <f t="shared" si="11"/>
        <v>0.74828688899040652</v>
      </c>
    </row>
    <row r="5" spans="1:12" x14ac:dyDescent="0.4">
      <c r="A5">
        <v>784</v>
      </c>
      <c r="B5">
        <v>163</v>
      </c>
      <c r="C5">
        <v>2757</v>
      </c>
      <c r="D5">
        <v>391</v>
      </c>
      <c r="E5">
        <v>0.89651471874089184</v>
      </c>
      <c r="F5" s="3">
        <f t="shared" si="5"/>
        <v>0.66723404255319152</v>
      </c>
      <c r="G5" s="3">
        <f t="shared" si="6"/>
        <v>0.94417808219178079</v>
      </c>
      <c r="H5" s="3">
        <f t="shared" si="7"/>
        <v>0.86471306471306475</v>
      </c>
      <c r="I5" s="3">
        <f t="shared" si="8"/>
        <v>0.65592178387384237</v>
      </c>
      <c r="J5" s="3">
        <f t="shared" si="9"/>
        <v>0.82787750791974657</v>
      </c>
      <c r="K5" s="3">
        <f t="shared" si="10"/>
        <v>0.66723404255319152</v>
      </c>
      <c r="L5" s="3">
        <f t="shared" si="11"/>
        <v>0.73892554194156468</v>
      </c>
    </row>
    <row r="6" spans="1:12" x14ac:dyDescent="0.4">
      <c r="A6">
        <v>825</v>
      </c>
      <c r="B6">
        <v>210</v>
      </c>
      <c r="C6">
        <v>2710</v>
      </c>
      <c r="D6">
        <v>350</v>
      </c>
      <c r="E6">
        <v>0.90327834450597488</v>
      </c>
      <c r="F6" s="3">
        <f t="shared" si="5"/>
        <v>0.7021276595744681</v>
      </c>
      <c r="G6" s="3">
        <f t="shared" si="6"/>
        <v>0.92808219178082196</v>
      </c>
      <c r="H6" s="3">
        <f t="shared" si="7"/>
        <v>0.86324786324786329</v>
      </c>
      <c r="I6" s="3">
        <f t="shared" si="8"/>
        <v>0.65594082029364764</v>
      </c>
      <c r="J6" s="3">
        <f t="shared" si="9"/>
        <v>0.79710144927536231</v>
      </c>
      <c r="K6" s="3">
        <f t="shared" si="10"/>
        <v>0.7021276595744681</v>
      </c>
      <c r="L6" s="3">
        <f t="shared" si="11"/>
        <v>0.74660633484162908</v>
      </c>
    </row>
    <row r="7" spans="1:12" x14ac:dyDescent="0.4">
      <c r="A7">
        <v>811</v>
      </c>
      <c r="B7">
        <v>163</v>
      </c>
      <c r="C7">
        <v>2757</v>
      </c>
      <c r="D7">
        <v>364</v>
      </c>
      <c r="E7">
        <v>0.90441737102885456</v>
      </c>
      <c r="F7" s="3">
        <f t="shared" si="5"/>
        <v>0.69021276595744685</v>
      </c>
      <c r="G7" s="3">
        <f t="shared" si="6"/>
        <v>0.94417808219178079</v>
      </c>
      <c r="H7" s="3">
        <f t="shared" si="7"/>
        <v>0.87130647130647132</v>
      </c>
      <c r="I7" s="3">
        <f t="shared" si="8"/>
        <v>0.67397052748282904</v>
      </c>
      <c r="J7" s="3">
        <f t="shared" si="9"/>
        <v>0.83264887063655035</v>
      </c>
      <c r="K7" s="3">
        <f t="shared" si="10"/>
        <v>0.69021276595744685</v>
      </c>
      <c r="L7" s="3">
        <f t="shared" si="11"/>
        <v>0.75476966030711967</v>
      </c>
    </row>
    <row r="8" spans="1:12" x14ac:dyDescent="0.4">
      <c r="A8">
        <v>780</v>
      </c>
      <c r="B8">
        <v>141</v>
      </c>
      <c r="C8">
        <v>2779</v>
      </c>
      <c r="D8">
        <v>395</v>
      </c>
      <c r="E8">
        <v>0.90615534829495781</v>
      </c>
      <c r="F8" s="3">
        <f t="shared" si="5"/>
        <v>0.66382978723404251</v>
      </c>
      <c r="G8" s="3">
        <f t="shared" si="6"/>
        <v>0.95171232876712331</v>
      </c>
      <c r="H8" s="3">
        <f t="shared" si="7"/>
        <v>0.86910866910866913</v>
      </c>
      <c r="I8" s="3">
        <f t="shared" si="8"/>
        <v>0.66686028833233568</v>
      </c>
      <c r="J8" s="3">
        <f t="shared" si="9"/>
        <v>0.84690553745928343</v>
      </c>
      <c r="K8" s="3">
        <f t="shared" si="10"/>
        <v>0.66382978723404251</v>
      </c>
      <c r="L8" s="3">
        <f t="shared" si="11"/>
        <v>0.74427480916030531</v>
      </c>
    </row>
    <row r="9" spans="1:12" x14ac:dyDescent="0.4">
      <c r="A9">
        <v>746</v>
      </c>
      <c r="B9">
        <v>140</v>
      </c>
      <c r="C9">
        <v>2780</v>
      </c>
      <c r="D9">
        <v>429</v>
      </c>
      <c r="E9">
        <v>0.88686709414164988</v>
      </c>
      <c r="F9" s="3">
        <f t="shared" si="5"/>
        <v>0.63489361702127656</v>
      </c>
      <c r="G9" s="3">
        <f t="shared" si="6"/>
        <v>0.95205479452054798</v>
      </c>
      <c r="H9" s="3">
        <f t="shared" si="7"/>
        <v>0.8610500610500611</v>
      </c>
      <c r="I9" s="3">
        <f t="shared" si="8"/>
        <v>0.64477556570193106</v>
      </c>
      <c r="J9" s="3">
        <f t="shared" si="9"/>
        <v>0.84198645598194133</v>
      </c>
      <c r="K9" s="3">
        <f t="shared" si="10"/>
        <v>0.63489361702127656</v>
      </c>
      <c r="L9" s="3">
        <f t="shared" si="11"/>
        <v>0.72392042697719561</v>
      </c>
    </row>
    <row r="10" spans="1:12" x14ac:dyDescent="0.4">
      <c r="A10">
        <v>770</v>
      </c>
      <c r="B10">
        <v>155</v>
      </c>
      <c r="C10">
        <v>2765</v>
      </c>
      <c r="D10">
        <v>404</v>
      </c>
      <c r="E10">
        <v>0.89557828288721386</v>
      </c>
      <c r="F10" s="3">
        <f t="shared" si="5"/>
        <v>0.65587734241908002</v>
      </c>
      <c r="G10" s="3">
        <f t="shared" si="6"/>
        <v>0.94691780821917804</v>
      </c>
      <c r="H10" s="3">
        <f t="shared" si="7"/>
        <v>0.86345872007816316</v>
      </c>
      <c r="I10" s="3">
        <f t="shared" si="8"/>
        <v>0.65187336735565005</v>
      </c>
      <c r="J10" s="3">
        <f t="shared" si="9"/>
        <v>0.83243243243243248</v>
      </c>
      <c r="K10" s="3">
        <f t="shared" si="10"/>
        <v>0.65587734241908002</v>
      </c>
      <c r="L10" s="3">
        <f t="shared" si="11"/>
        <v>0.73368270605050034</v>
      </c>
    </row>
    <row r="11" spans="1:12" x14ac:dyDescent="0.4">
      <c r="A11">
        <v>818</v>
      </c>
      <c r="B11">
        <v>143</v>
      </c>
      <c r="C11">
        <v>2777</v>
      </c>
      <c r="D11">
        <v>356</v>
      </c>
      <c r="E11">
        <v>0.90914681104291606</v>
      </c>
      <c r="F11" s="3">
        <f t="shared" si="5"/>
        <v>0.69676320272572401</v>
      </c>
      <c r="G11" s="3">
        <f t="shared" si="6"/>
        <v>0.95102739726027397</v>
      </c>
      <c r="H11" s="3">
        <f t="shared" si="7"/>
        <v>0.87811431362970205</v>
      </c>
      <c r="I11" s="3">
        <f t="shared" si="8"/>
        <v>0.69122307010636141</v>
      </c>
      <c r="J11" s="3">
        <f t="shared" si="9"/>
        <v>0.85119667013527578</v>
      </c>
      <c r="K11" s="3">
        <f t="shared" si="10"/>
        <v>0.69676320272572401</v>
      </c>
      <c r="L11" s="3">
        <f t="shared" si="11"/>
        <v>0.7662763466042154</v>
      </c>
    </row>
    <row r="12" spans="1:12" x14ac:dyDescent="0.4">
      <c r="A12">
        <v>795.9</v>
      </c>
      <c r="B12">
        <v>165.4</v>
      </c>
      <c r="C12">
        <v>2754.6</v>
      </c>
      <c r="D12">
        <v>378.9</v>
      </c>
      <c r="E12">
        <v>0.90147399584011312</v>
      </c>
      <c r="F12" s="3">
        <f t="shared" si="5"/>
        <v>0.67747701736465782</v>
      </c>
      <c r="G12" s="3">
        <f t="shared" si="6"/>
        <v>0.94335616438356162</v>
      </c>
      <c r="H12" s="3">
        <f t="shared" si="7"/>
        <v>0.86707531503370139</v>
      </c>
      <c r="I12" s="3">
        <f t="shared" si="8"/>
        <v>0.66252762979838042</v>
      </c>
      <c r="J12" s="3">
        <f t="shared" si="9"/>
        <v>0.82794132944970356</v>
      </c>
      <c r="K12" s="3">
        <f t="shared" si="10"/>
        <v>0.67747701736465782</v>
      </c>
      <c r="L12" s="3">
        <f t="shared" si="11"/>
        <v>0.74518983193670707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2026-06-30T05:08:08Z</dcterms:created>
  <dcterms:modified xsi:type="dcterms:W3CDTF">2026-06-30T08:41:48Z</dcterms:modified>
</cp:coreProperties>
</file>