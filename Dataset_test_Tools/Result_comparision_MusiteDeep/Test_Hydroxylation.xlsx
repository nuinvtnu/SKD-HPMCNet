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1_{13436D86-6889-4CC2-B714-545EA634CD19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est_Hydroxylation" sheetId="1" r:id="rId1"/>
    <sheet name="MusiteDeep" sheetId="2" r:id="rId2"/>
    <sheet name="MusiteDeep-11" sheetId="3" r:id="rId3"/>
  </sheets>
  <definedNames>
    <definedName name="_xlnm._FilterDatabase" localSheetId="1" hidden="1">MusiteDeep!$A$1:$E$1789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8" i="1"/>
  <c r="D39" i="1"/>
  <c r="D40" i="1"/>
  <c r="D41" i="1"/>
  <c r="D44" i="1"/>
  <c r="D45" i="1"/>
  <c r="D47" i="1"/>
  <c r="D49" i="1"/>
  <c r="D50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70" i="1"/>
  <c r="D71" i="1"/>
  <c r="D72" i="1"/>
  <c r="D74" i="1"/>
  <c r="D75" i="1"/>
  <c r="D76" i="1"/>
  <c r="D77" i="1"/>
  <c r="D80" i="1"/>
  <c r="D81" i="1"/>
  <c r="D82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6" i="1"/>
  <c r="D117" i="1"/>
  <c r="D118" i="1"/>
  <c r="D120" i="1"/>
  <c r="D121" i="1"/>
  <c r="D122" i="1"/>
  <c r="D123" i="1"/>
  <c r="D124" i="1"/>
  <c r="D125" i="1"/>
  <c r="D126" i="1"/>
  <c r="D127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5" i="1"/>
  <c r="D146" i="1"/>
  <c r="D147" i="1"/>
  <c r="D148" i="1"/>
  <c r="D149" i="1"/>
  <c r="D150" i="1"/>
  <c r="D151" i="1"/>
  <c r="D152" i="1"/>
  <c r="D153" i="1"/>
  <c r="D155" i="1"/>
  <c r="D156" i="1"/>
  <c r="D157" i="1"/>
  <c r="D158" i="1"/>
  <c r="D159" i="1"/>
  <c r="D160" i="1"/>
  <c r="D161" i="1"/>
  <c r="D163" i="1"/>
  <c r="D164" i="1"/>
  <c r="D165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7" i="1"/>
  <c r="D188" i="1"/>
  <c r="D189" i="1"/>
  <c r="D190" i="1"/>
  <c r="D191" i="1"/>
  <c r="D192" i="1"/>
  <c r="D193" i="1"/>
  <c r="D194" i="1"/>
  <c r="D195" i="1"/>
  <c r="D197" i="1"/>
  <c r="D202" i="1"/>
  <c r="D203" i="1"/>
  <c r="D205" i="1"/>
  <c r="D206" i="1"/>
  <c r="D208" i="1"/>
  <c r="D209" i="1"/>
  <c r="D210" i="1"/>
  <c r="D211" i="1"/>
  <c r="D213" i="1"/>
  <c r="D214" i="1"/>
  <c r="D215" i="1"/>
  <c r="D216" i="1"/>
  <c r="D217" i="1"/>
  <c r="D221" i="1"/>
  <c r="D222" i="1"/>
  <c r="D223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7" i="1"/>
  <c r="D248" i="1"/>
  <c r="D249" i="1"/>
  <c r="D251" i="1"/>
  <c r="D252" i="1"/>
  <c r="D253" i="1"/>
  <c r="D254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2" i="1"/>
  <c r="D273" i="1"/>
  <c r="D274" i="1"/>
  <c r="D275" i="1"/>
  <c r="D276" i="1"/>
  <c r="D277" i="1"/>
  <c r="D278" i="1"/>
  <c r="D280" i="1"/>
  <c r="D281" i="1"/>
  <c r="D283" i="1"/>
  <c r="D284" i="1"/>
  <c r="D285" i="1"/>
  <c r="D286" i="1"/>
  <c r="D287" i="1"/>
  <c r="D288" i="1"/>
  <c r="D289" i="1"/>
  <c r="D290" i="1"/>
  <c r="D291" i="1"/>
  <c r="D292" i="1"/>
  <c r="D293" i="1"/>
  <c r="D295" i="1"/>
  <c r="D296" i="1"/>
  <c r="D297" i="1"/>
  <c r="D298" i="1"/>
  <c r="D299" i="1"/>
  <c r="D300" i="1"/>
  <c r="D301" i="1"/>
  <c r="D302" i="1"/>
  <c r="D303" i="1"/>
  <c r="D304" i="1"/>
  <c r="D306" i="1"/>
  <c r="D308" i="1"/>
  <c r="D309" i="1"/>
  <c r="D310" i="1"/>
  <c r="D311" i="1"/>
  <c r="D312" i="1"/>
  <c r="D313" i="1"/>
  <c r="D314" i="1"/>
  <c r="D315" i="1"/>
  <c r="D316" i="1"/>
  <c r="D318" i="1"/>
  <c r="D319" i="1"/>
  <c r="D320" i="1"/>
  <c r="D321" i="1"/>
  <c r="D322" i="1"/>
  <c r="D324" i="1"/>
  <c r="D325" i="1"/>
  <c r="D327" i="1"/>
  <c r="D328" i="1"/>
  <c r="D329" i="1"/>
  <c r="D331" i="1"/>
  <c r="D332" i="1"/>
  <c r="D334" i="1"/>
  <c r="D335" i="1"/>
  <c r="D336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2" i="1"/>
  <c r="D353" i="1"/>
  <c r="D354" i="1"/>
  <c r="D355" i="1"/>
  <c r="D356" i="1"/>
  <c r="D358" i="1"/>
  <c r="D359" i="1"/>
  <c r="D360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9" i="1"/>
  <c r="D380" i="1"/>
  <c r="D381" i="1"/>
  <c r="D382" i="1"/>
  <c r="D383" i="1"/>
  <c r="D384" i="1"/>
  <c r="D385" i="1"/>
  <c r="D387" i="1"/>
  <c r="D388" i="1"/>
  <c r="D389" i="1"/>
  <c r="D390" i="1"/>
  <c r="D391" i="1"/>
  <c r="D393" i="1"/>
  <c r="D394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9" i="1"/>
  <c r="D420" i="1"/>
  <c r="D421" i="1"/>
  <c r="D422" i="1"/>
  <c r="D424" i="1"/>
  <c r="D425" i="1"/>
  <c r="D426" i="1"/>
  <c r="D428" i="1"/>
  <c r="D429" i="1"/>
  <c r="D431" i="1"/>
  <c r="D433" i="1"/>
  <c r="D435" i="1"/>
  <c r="D436" i="1"/>
  <c r="D438" i="1"/>
  <c r="D439" i="1"/>
  <c r="D440" i="1"/>
  <c r="D441" i="1"/>
  <c r="D442" i="1"/>
  <c r="D443" i="1"/>
  <c r="D445" i="1"/>
  <c r="D446" i="1"/>
  <c r="D447" i="1"/>
  <c r="D448" i="1"/>
  <c r="D450" i="1"/>
  <c r="D452" i="1"/>
  <c r="D453" i="1"/>
  <c r="D455" i="1"/>
  <c r="D456" i="1"/>
  <c r="D457" i="1"/>
  <c r="D458" i="1"/>
  <c r="D459" i="1"/>
  <c r="D460" i="1"/>
  <c r="D461" i="1"/>
  <c r="D462" i="1"/>
  <c r="D463" i="1"/>
  <c r="D465" i="1"/>
  <c r="D466" i="1"/>
  <c r="D468" i="1"/>
  <c r="D469" i="1"/>
  <c r="D470" i="1"/>
  <c r="D471" i="1"/>
  <c r="D472" i="1"/>
  <c r="D473" i="1"/>
  <c r="D475" i="1"/>
  <c r="D476" i="1"/>
  <c r="D477" i="1"/>
  <c r="D478" i="1"/>
  <c r="D479" i="1"/>
  <c r="D480" i="1"/>
  <c r="D481" i="1"/>
  <c r="D482" i="1"/>
  <c r="D483" i="1"/>
  <c r="D485" i="1"/>
  <c r="D486" i="1"/>
  <c r="D489" i="1"/>
  <c r="D490" i="1"/>
  <c r="D491" i="1"/>
  <c r="D492" i="1"/>
  <c r="D494" i="1"/>
  <c r="D495" i="1"/>
  <c r="D496" i="1"/>
  <c r="D497" i="1"/>
  <c r="D498" i="1"/>
  <c r="D499" i="1"/>
  <c r="D500" i="1"/>
  <c r="D501" i="1"/>
  <c r="D502" i="1"/>
  <c r="D503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20" i="1"/>
  <c r="D521" i="1"/>
  <c r="D522" i="1"/>
  <c r="D524" i="1"/>
  <c r="D525" i="1"/>
  <c r="D526" i="1"/>
  <c r="D527" i="1"/>
  <c r="D528" i="1"/>
  <c r="D529" i="1"/>
  <c r="D530" i="1"/>
  <c r="D531" i="1"/>
  <c r="D532" i="1"/>
  <c r="D533" i="1"/>
  <c r="D534" i="1"/>
  <c r="D536" i="1"/>
  <c r="D539" i="1"/>
  <c r="D540" i="1"/>
  <c r="D541" i="1"/>
  <c r="D542" i="1"/>
  <c r="D543" i="1"/>
  <c r="D544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70" i="1"/>
  <c r="D572" i="1"/>
  <c r="D575" i="1"/>
  <c r="D576" i="1"/>
  <c r="D577" i="1"/>
  <c r="D578" i="1"/>
  <c r="D579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4" i="1"/>
  <c r="D595" i="1"/>
  <c r="D596" i="1"/>
  <c r="D597" i="1"/>
  <c r="D598" i="1"/>
  <c r="D599" i="1"/>
  <c r="D600" i="1"/>
  <c r="D601" i="1"/>
  <c r="D603" i="1"/>
  <c r="D604" i="1"/>
  <c r="D605" i="1"/>
  <c r="D606" i="1"/>
  <c r="D608" i="1"/>
  <c r="D609" i="1"/>
  <c r="D610" i="1"/>
  <c r="D611" i="1"/>
  <c r="D612" i="1"/>
  <c r="D613" i="1"/>
  <c r="D614" i="1"/>
  <c r="D615" i="1"/>
  <c r="D619" i="1"/>
  <c r="D620" i="1"/>
  <c r="D622" i="1"/>
  <c r="D623" i="1"/>
  <c r="D624" i="1"/>
  <c r="D625" i="1"/>
  <c r="D626" i="1"/>
  <c r="D628" i="1"/>
  <c r="D629" i="1"/>
  <c r="D631" i="1"/>
  <c r="D632" i="1"/>
  <c r="D633" i="1"/>
  <c r="D634" i="1"/>
  <c r="D635" i="1"/>
  <c r="D636" i="1"/>
  <c r="D637" i="1"/>
  <c r="D638" i="1"/>
  <c r="D640" i="1"/>
  <c r="D641" i="1"/>
  <c r="D642" i="1"/>
  <c r="D643" i="1"/>
  <c r="D644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4" i="1"/>
  <c r="D665" i="1"/>
  <c r="D666" i="1"/>
  <c r="D667" i="1"/>
  <c r="D670" i="1"/>
  <c r="D671" i="1"/>
  <c r="D672" i="1"/>
  <c r="D673" i="1"/>
  <c r="D674" i="1"/>
  <c r="D675" i="1"/>
  <c r="D677" i="1"/>
  <c r="D678" i="1"/>
  <c r="D679" i="1"/>
  <c r="D680" i="1"/>
  <c r="D681" i="1"/>
  <c r="D683" i="1"/>
  <c r="D684" i="1"/>
  <c r="D685" i="1"/>
  <c r="D686" i="1"/>
  <c r="D687" i="1"/>
  <c r="D689" i="1"/>
  <c r="D690" i="1"/>
  <c r="D692" i="1"/>
  <c r="D693" i="1"/>
  <c r="D694" i="1"/>
  <c r="D695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4" i="1"/>
  <c r="D716" i="1"/>
  <c r="D717" i="1"/>
  <c r="D718" i="1"/>
  <c r="D719" i="1"/>
  <c r="D720" i="1"/>
  <c r="D721" i="1"/>
  <c r="D722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50" i="1"/>
  <c r="D751" i="1"/>
  <c r="D752" i="1"/>
  <c r="D753" i="1"/>
  <c r="D754" i="1"/>
  <c r="D755" i="1"/>
  <c r="D756" i="1"/>
  <c r="D757" i="1"/>
  <c r="D758" i="1"/>
  <c r="D759" i="1"/>
  <c r="D760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7" i="1"/>
  <c r="D779" i="1"/>
  <c r="D780" i="1"/>
  <c r="D781" i="1"/>
  <c r="D782" i="1"/>
  <c r="D783" i="1"/>
  <c r="D784" i="1"/>
  <c r="D785" i="1"/>
  <c r="D787" i="1"/>
  <c r="D788" i="1"/>
  <c r="D789" i="1"/>
  <c r="D790" i="1"/>
  <c r="D791" i="1"/>
  <c r="D792" i="1"/>
  <c r="D794" i="1"/>
  <c r="D795" i="1"/>
  <c r="D796" i="1"/>
  <c r="D797" i="1"/>
  <c r="D798" i="1"/>
  <c r="D799" i="1"/>
  <c r="D800" i="1"/>
  <c r="D801" i="1"/>
  <c r="D802" i="1"/>
  <c r="D803" i="1"/>
  <c r="D804" i="1"/>
  <c r="D806" i="1"/>
  <c r="D807" i="1"/>
  <c r="D808" i="1"/>
  <c r="D809" i="1"/>
  <c r="D810" i="1"/>
  <c r="D812" i="1"/>
  <c r="D813" i="1"/>
  <c r="D815" i="1"/>
  <c r="D817" i="1"/>
  <c r="D818" i="1"/>
  <c r="D819" i="1"/>
  <c r="D821" i="1"/>
  <c r="D822" i="1"/>
  <c r="D823" i="1"/>
  <c r="D825" i="1"/>
  <c r="D826" i="1"/>
  <c r="D827" i="1"/>
  <c r="D828" i="1"/>
  <c r="D829" i="1"/>
  <c r="D830" i="1"/>
  <c r="D831" i="1"/>
  <c r="D832" i="1"/>
  <c r="D833" i="1"/>
  <c r="D834" i="1"/>
  <c r="D835" i="1"/>
  <c r="D2" i="1"/>
  <c r="I4" i="1" l="1"/>
  <c r="I5" i="1"/>
  <c r="F3" i="3"/>
  <c r="D37" i="1" s="1"/>
  <c r="F4" i="3"/>
  <c r="D42" i="1" s="1"/>
  <c r="F5" i="3"/>
  <c r="D43" i="1" s="1"/>
  <c r="F6" i="3"/>
  <c r="D46" i="1" s="1"/>
  <c r="F7" i="3"/>
  <c r="D48" i="1" s="1"/>
  <c r="F8" i="3"/>
  <c r="D51" i="1" s="1"/>
  <c r="F9" i="3"/>
  <c r="D69" i="1" s="1"/>
  <c r="F10" i="3"/>
  <c r="D73" i="1" s="1"/>
  <c r="F11" i="3"/>
  <c r="D78" i="1" s="1"/>
  <c r="F12" i="3"/>
  <c r="D79" i="1" s="1"/>
  <c r="F13" i="3"/>
  <c r="D83" i="1" s="1"/>
  <c r="F14" i="3"/>
  <c r="D99" i="1" s="1"/>
  <c r="F15" i="3"/>
  <c r="D115" i="1" s="1"/>
  <c r="F16" i="3"/>
  <c r="D119" i="1" s="1"/>
  <c r="F17" i="3"/>
  <c r="D128" i="1" s="1"/>
  <c r="F18" i="3"/>
  <c r="D144" i="1" s="1"/>
  <c r="F19" i="3"/>
  <c r="D154" i="1" s="1"/>
  <c r="F20" i="3"/>
  <c r="D162" i="1" s="1"/>
  <c r="F21" i="3"/>
  <c r="D166" i="1" s="1"/>
  <c r="F22" i="3"/>
  <c r="D185" i="1" s="1"/>
  <c r="F23" i="3"/>
  <c r="D186" i="1" s="1"/>
  <c r="F24" i="3"/>
  <c r="D196" i="1" s="1"/>
  <c r="F25" i="3"/>
  <c r="D198" i="1" s="1"/>
  <c r="F26" i="3"/>
  <c r="D199" i="1" s="1"/>
  <c r="F27" i="3"/>
  <c r="D200" i="1" s="1"/>
  <c r="F28" i="3"/>
  <c r="D201" i="1" s="1"/>
  <c r="F29" i="3"/>
  <c r="D204" i="1" s="1"/>
  <c r="F30" i="3"/>
  <c r="D207" i="1" s="1"/>
  <c r="F31" i="3"/>
  <c r="D212" i="1" s="1"/>
  <c r="F32" i="3"/>
  <c r="D218" i="1" s="1"/>
  <c r="F33" i="3"/>
  <c r="D219" i="1" s="1"/>
  <c r="F34" i="3"/>
  <c r="D220" i="1" s="1"/>
  <c r="F35" i="3"/>
  <c r="D230" i="1" s="1"/>
  <c r="F36" i="3"/>
  <c r="D242" i="1" s="1"/>
  <c r="F37" i="3"/>
  <c r="D250" i="1" s="1"/>
  <c r="F38" i="3"/>
  <c r="D255" i="1" s="1"/>
  <c r="F39" i="3"/>
  <c r="D256" i="1" s="1"/>
  <c r="F40" i="3"/>
  <c r="D270" i="1" s="1"/>
  <c r="F41" i="3"/>
  <c r="D271" i="1" s="1"/>
  <c r="F42" i="3"/>
  <c r="D279" i="1" s="1"/>
  <c r="F43" i="3"/>
  <c r="D282" i="1" s="1"/>
  <c r="F44" i="3"/>
  <c r="D294" i="1" s="1"/>
  <c r="F45" i="3"/>
  <c r="D305" i="1" s="1"/>
  <c r="F46" i="3"/>
  <c r="D307" i="1" s="1"/>
  <c r="F47" i="3"/>
  <c r="D317" i="1" s="1"/>
  <c r="F48" i="3"/>
  <c r="D323" i="1" s="1"/>
  <c r="F49" i="3"/>
  <c r="D326" i="1" s="1"/>
  <c r="F50" i="3"/>
  <c r="D330" i="1" s="1"/>
  <c r="F51" i="3"/>
  <c r="D333" i="1" s="1"/>
  <c r="F52" i="3"/>
  <c r="D337" i="1" s="1"/>
  <c r="F53" i="3"/>
  <c r="D351" i="1" s="1"/>
  <c r="F54" i="3"/>
  <c r="D357" i="1" s="1"/>
  <c r="F55" i="3"/>
  <c r="D361" i="1" s="1"/>
  <c r="F56" i="3"/>
  <c r="D378" i="1" s="1"/>
  <c r="F57" i="3"/>
  <c r="D386" i="1" s="1"/>
  <c r="F58" i="3"/>
  <c r="D392" i="1" s="1"/>
  <c r="F59" i="3"/>
  <c r="D395" i="1" s="1"/>
  <c r="F60" i="3"/>
  <c r="D396" i="1" s="1"/>
  <c r="F61" i="3"/>
  <c r="D418" i="1" s="1"/>
  <c r="F62" i="3"/>
  <c r="D423" i="1" s="1"/>
  <c r="F63" i="3"/>
  <c r="D427" i="1" s="1"/>
  <c r="F64" i="3"/>
  <c r="D430" i="1" s="1"/>
  <c r="F65" i="3"/>
  <c r="D432" i="1" s="1"/>
  <c r="F66" i="3"/>
  <c r="D434" i="1" s="1"/>
  <c r="F67" i="3"/>
  <c r="D437" i="1" s="1"/>
  <c r="F68" i="3"/>
  <c r="D444" i="1" s="1"/>
  <c r="F69" i="3"/>
  <c r="D449" i="1" s="1"/>
  <c r="F70" i="3"/>
  <c r="D451" i="1" s="1"/>
  <c r="F71" i="3"/>
  <c r="D454" i="1" s="1"/>
  <c r="F72" i="3"/>
  <c r="D464" i="1" s="1"/>
  <c r="F73" i="3"/>
  <c r="D467" i="1" s="1"/>
  <c r="F74" i="3"/>
  <c r="D474" i="1" s="1"/>
  <c r="F75" i="3"/>
  <c r="D484" i="1" s="1"/>
  <c r="F76" i="3"/>
  <c r="D487" i="1" s="1"/>
  <c r="F77" i="3"/>
  <c r="D488" i="1" s="1"/>
  <c r="F78" i="3"/>
  <c r="D493" i="1" s="1"/>
  <c r="F79" i="3"/>
  <c r="D504" i="1" s="1"/>
  <c r="F80" i="3"/>
  <c r="D519" i="1" s="1"/>
  <c r="F81" i="3"/>
  <c r="D523" i="1" s="1"/>
  <c r="F82" i="3"/>
  <c r="D535" i="1" s="1"/>
  <c r="F83" i="3"/>
  <c r="D537" i="1" s="1"/>
  <c r="F84" i="3"/>
  <c r="D538" i="1" s="1"/>
  <c r="F85" i="3"/>
  <c r="D545" i="1" s="1"/>
  <c r="F86" i="3"/>
  <c r="D569" i="1" s="1"/>
  <c r="F87" i="3"/>
  <c r="D571" i="1" s="1"/>
  <c r="F88" i="3"/>
  <c r="D573" i="1" s="1"/>
  <c r="F89" i="3"/>
  <c r="D574" i="1" s="1"/>
  <c r="F90" i="3"/>
  <c r="D580" i="1" s="1"/>
  <c r="F91" i="3"/>
  <c r="D593" i="1" s="1"/>
  <c r="F92" i="3"/>
  <c r="D602" i="1" s="1"/>
  <c r="F93" i="3"/>
  <c r="D607" i="1" s="1"/>
  <c r="F94" i="3"/>
  <c r="D616" i="1" s="1"/>
  <c r="F95" i="3"/>
  <c r="D617" i="1" s="1"/>
  <c r="F96" i="3"/>
  <c r="D618" i="1" s="1"/>
  <c r="F97" i="3"/>
  <c r="D621" i="1" s="1"/>
  <c r="F98" i="3"/>
  <c r="D627" i="1" s="1"/>
  <c r="F99" i="3"/>
  <c r="D630" i="1" s="1"/>
  <c r="F100" i="3"/>
  <c r="D639" i="1" s="1"/>
  <c r="F101" i="3"/>
  <c r="D645" i="1" s="1"/>
  <c r="F102" i="3"/>
  <c r="D663" i="1" s="1"/>
  <c r="F103" i="3"/>
  <c r="D668" i="1" s="1"/>
  <c r="F104" i="3"/>
  <c r="D669" i="1" s="1"/>
  <c r="F105" i="3"/>
  <c r="D676" i="1" s="1"/>
  <c r="F106" i="3"/>
  <c r="D682" i="1" s="1"/>
  <c r="F107" i="3"/>
  <c r="D688" i="1" s="1"/>
  <c r="F108" i="3"/>
  <c r="D691" i="1" s="1"/>
  <c r="F109" i="3"/>
  <c r="D696" i="1" s="1"/>
  <c r="F110" i="3"/>
  <c r="D713" i="1" s="1"/>
  <c r="F111" i="3"/>
  <c r="D715" i="1" s="1"/>
  <c r="F112" i="3"/>
  <c r="D723" i="1" s="1"/>
  <c r="F113" i="3"/>
  <c r="D749" i="1" s="1"/>
  <c r="F114" i="3"/>
  <c r="D761" i="1" s="1"/>
  <c r="F115" i="3"/>
  <c r="D776" i="1" s="1"/>
  <c r="F116" i="3"/>
  <c r="D778" i="1" s="1"/>
  <c r="F117" i="3"/>
  <c r="D786" i="1" s="1"/>
  <c r="F118" i="3"/>
  <c r="D793" i="1" s="1"/>
  <c r="F119" i="3"/>
  <c r="D805" i="1" s="1"/>
  <c r="F120" i="3"/>
  <c r="D811" i="1" s="1"/>
  <c r="F121" i="3"/>
  <c r="D814" i="1" s="1"/>
  <c r="F122" i="3"/>
  <c r="D816" i="1" s="1"/>
  <c r="F123" i="3"/>
  <c r="D820" i="1" s="1"/>
  <c r="F124" i="3"/>
  <c r="D824" i="1" s="1"/>
  <c r="H2" i="1" l="1"/>
  <c r="K2" i="1" s="1"/>
  <c r="J2" i="1"/>
  <c r="I2" i="1" s="1"/>
  <c r="R2" i="1" l="1"/>
  <c r="L2" i="1"/>
  <c r="Q2" i="1"/>
  <c r="P2" i="1"/>
  <c r="O2" i="1"/>
  <c r="M2" i="1"/>
  <c r="N2" i="1" l="1"/>
  <c r="S2" i="1"/>
</calcChain>
</file>

<file path=xl/sharedStrings.xml><?xml version="1.0" encoding="utf-8"?>
<sst xmlns="http://schemas.openxmlformats.org/spreadsheetml/2006/main" count="7053" uniqueCount="2721">
  <si>
    <t>Properties</t>
  </si>
  <si>
    <t>Sequence</t>
  </si>
  <si>
    <t>Label</t>
  </si>
  <si>
    <t>FP1V1_PERVI_352</t>
  </si>
  <si>
    <t>TPKPWTAWKVPPPAWTAWKAH</t>
  </si>
  <si>
    <t>CAFF_RIFPA_164</t>
  </si>
  <si>
    <t>GVDGLAGPPGPPGPIGSTGSP</t>
  </si>
  <si>
    <t>CO2A1_BOVIN_218</t>
  </si>
  <si>
    <t>PRGPPGPAGAPGPQGFQGNPG</t>
  </si>
  <si>
    <t>CO17A_CONPU_49</t>
  </si>
  <si>
    <t>KLSLSTRCRIPNQKCFQHLDD</t>
  </si>
  <si>
    <t>H14_HUMAN_97</t>
  </si>
  <si>
    <t>LVSKGTLVQTKGTGASGSFKL</t>
  </si>
  <si>
    <t>CAFF_RIFPA_561</t>
  </si>
  <si>
    <t>PPGPAGLVGLPGERGPKGVGG</t>
  </si>
  <si>
    <t>CHI2_TOBAC_67</t>
  </si>
  <si>
    <t>GNCQSQCPGGPTPPGGGDLGS</t>
  </si>
  <si>
    <t>CO2A1_BOVIN_212</t>
  </si>
  <si>
    <t>PMGPMGPRGPPGPAGAPGPQG</t>
  </si>
  <si>
    <t>PRP_PHAVU_11</t>
  </si>
  <si>
    <t>NYDKPPVEKPPVYKPPVEKPP</t>
  </si>
  <si>
    <t>HSY1_SOLLC_63</t>
  </si>
  <si>
    <t>KTPPPPTSSSPTHQEIVNGRH</t>
  </si>
  <si>
    <t>RL27A_HUMAN_39</t>
  </si>
  <si>
    <t>PGGRGNAGGLHHHRINFDKYH</t>
  </si>
  <si>
    <t>PCEP9_ARATH_48</t>
  </si>
  <si>
    <t>FKAGFTDDFVPTSPGNSPGVG</t>
  </si>
  <si>
    <t>CO5A2_HUMAN_919</t>
  </si>
  <si>
    <t>GFPGSAGRVGPPGPAGAPGPA</t>
  </si>
  <si>
    <t>FP1V1_PERVI_27</t>
  </si>
  <si>
    <t>SASAVYHPPSWTAWIAPKPWT</t>
  </si>
  <si>
    <t>C1QB_HUMAN_86</t>
  </si>
  <si>
    <t>EKGDPGIPGNPGKVGPKGPMG</t>
  </si>
  <si>
    <t>AGP4_ARATH_37</t>
  </si>
  <si>
    <t>TPTATPPPATPPPVATPPPVA</t>
  </si>
  <si>
    <t>FP1V1_PERVI_175</t>
  </si>
  <si>
    <t>PWTAWKATPKPWTVWKATPKP</t>
  </si>
  <si>
    <t>CAFF_RIFPA_603</t>
  </si>
  <si>
    <t>ERGERGENGLPGPSGLAASKG</t>
  </si>
  <si>
    <t>CO1A2_BOVIN_286</t>
  </si>
  <si>
    <t>PAGPRGEVGLPGLSGPVGPPG</t>
  </si>
  <si>
    <t>PSY1_ARATH_63</t>
  </si>
  <si>
    <t>SANPKHDPGVPPSATGQRVVG</t>
  </si>
  <si>
    <t>CAFF_RIFPA_963</t>
  </si>
  <si>
    <t>TPGHSGESGPPGAPGPRGARG</t>
  </si>
  <si>
    <t>AGP31_ARATH_199</t>
  </si>
  <si>
    <t>KPPVKPPVYPPTKAPVKPPVS</t>
  </si>
  <si>
    <t>CO4A1_MOUSE_602</t>
  </si>
  <si>
    <t>GFPGSRGDIGPPGPPGVGPIG</t>
  </si>
  <si>
    <t>CO2A1_RAT_606</t>
  </si>
  <si>
    <t>FQGLPGPPGPPGEGGKQGDQG</t>
  </si>
  <si>
    <t>LANEL_STAEP_32</t>
  </si>
  <si>
    <t>SPQSASVLKTSIKVSKKYCKG</t>
  </si>
  <si>
    <t>C1R_HUMAN_167</t>
  </si>
  <si>
    <t>PQPQCQHLCHNYVGGYFCSCR</t>
  </si>
  <si>
    <t>CO4A1_BOVIN_207</t>
  </si>
  <si>
    <t>GPPGFTGPPGPPGPPGPPGEK</t>
  </si>
  <si>
    <t>CO2A1_RAT_839</t>
  </si>
  <si>
    <t>GFPGAAGRVGPPGSNGNPGPA</t>
  </si>
  <si>
    <t>STYD_STYCL_36</t>
  </si>
  <si>
    <t>RKAAKSVGKFYYKHKYYIKAA</t>
  </si>
  <si>
    <t>LANLB_BACLI_42</t>
  </si>
  <si>
    <t>VGGNDVNPETTPATTSSWTCI</t>
  </si>
  <si>
    <t>AGP31_ARATH_82</t>
  </si>
  <si>
    <t>VKPPVKAPVSPPAKPPVKPPV</t>
  </si>
  <si>
    <t>HSY1_SOLLC_80</t>
  </si>
  <si>
    <t>NGRHDSVLPPPSPKTDPIIGQ</t>
  </si>
  <si>
    <t>HYP2_TAROF_12</t>
  </si>
  <si>
    <t>PKPPLLPPPVPGLAPGLPPLP</t>
  </si>
  <si>
    <t>CI1BC_CONRA_38</t>
  </si>
  <si>
    <t>SRAARVKNRGPSFCKADEKPC</t>
  </si>
  <si>
    <t>O236D_CONTE_54</t>
  </si>
  <si>
    <t>QKRLCPDYTDPCSHAHECCSW</t>
  </si>
  <si>
    <t>EFP_ECOLI_34</t>
  </si>
  <si>
    <t>VEASEFVKPGKGQAFARVKLR</t>
  </si>
  <si>
    <t>CO1A2_BOVIN_400</t>
  </si>
  <si>
    <t>PPGPPGLRGNPGSRGLPGADG</t>
  </si>
  <si>
    <t>CAFF_RIFPA_645</t>
  </si>
  <si>
    <t>PAGSQGIQGQPGPPGDAGPAG</t>
  </si>
  <si>
    <t>CO2A1_BOVIN_674</t>
  </si>
  <si>
    <t>FQGLPGPPGPPGEGGKPGDQG</t>
  </si>
  <si>
    <t>CO2A1_RAT_840</t>
  </si>
  <si>
    <t>FPGAAGRVGPPGSNGNPGPAG</t>
  </si>
  <si>
    <t>C1QB_HUMAN_62</t>
  </si>
  <si>
    <t>QPGTPGIKGEKGLPGLAGDHG</t>
  </si>
  <si>
    <t>CO6A3_HUMAN_2322</t>
  </si>
  <si>
    <t>ERGFPGYPGPKGNPGEPGLNG</t>
  </si>
  <si>
    <t>CO1A1_CHICK_911</t>
  </si>
  <si>
    <t>ETGPAGRPGEPGPAGPPGPPG</t>
  </si>
  <si>
    <t>CO5A1_HUMAN_1023</t>
  </si>
  <si>
    <t>ERGHPGPPGPPGEQGLPGLAG</t>
  </si>
  <si>
    <t>CO2A1_BOVIN_542</t>
  </si>
  <si>
    <t>ERGPSGLAGPKGANGDPGRPG</t>
  </si>
  <si>
    <t>CAFF_RIFPA_177</t>
  </si>
  <si>
    <t>PIGSTGSPGFPGTPGSKGDRG</t>
  </si>
  <si>
    <t>C1QT9_MOUSE_127</t>
  </si>
  <si>
    <t>ETGPQGQKGDKGEVGPTGPEG</t>
  </si>
  <si>
    <t>CAFF_RIFPA_54</t>
  </si>
  <si>
    <t>PMGPIGKRGPPGPAGIAGKSG</t>
  </si>
  <si>
    <t>FP1V1_PERVI_199</t>
  </si>
  <si>
    <t>WKATPKPWTAWKAPPPAWSAW</t>
  </si>
  <si>
    <t>H4_MOUSE_32</t>
  </si>
  <si>
    <t>VLRDNIQGITKPAIRRLARRG</t>
  </si>
  <si>
    <t>AGP31_ARATH_219</t>
  </si>
  <si>
    <t>SPPTKPPVTPPVYPPKFNRSL</t>
  </si>
  <si>
    <t>THI4_ARATH_216</t>
  </si>
  <si>
    <t>LVAQNHHTQSCMDPNVMEAKI</t>
  </si>
  <si>
    <t>CAFF_RIFPA_24</t>
  </si>
  <si>
    <t>PIGPRGPPGPPGSPGQQGYQG</t>
  </si>
  <si>
    <t>AGP31_ARATH_99</t>
  </si>
  <si>
    <t>KPPVYPPTKAPVKPPTKPPVK</t>
  </si>
  <si>
    <t>CO1A1_CHICK_185</t>
  </si>
  <si>
    <t>PRGLPGPPGAPGPQGFQGPPG</t>
  </si>
  <si>
    <t>HSYA_TOBAC_43</t>
  </si>
  <si>
    <t>GYGRGANLPPPSPASSPPSKE</t>
  </si>
  <si>
    <t>CO7A1_HUMAN_2673</t>
  </si>
  <si>
    <t>EPGVPGQSGAPGKEGLIGPKG</t>
  </si>
  <si>
    <t>C1QC_HUMAN_36</t>
  </si>
  <si>
    <t>GQANTGCYGIPGMPGLPGAPG</t>
  </si>
  <si>
    <t>CO1A1_MOUSE_887</t>
  </si>
  <si>
    <t>PSGNAGPPGPPGPVGKEGGKG</t>
  </si>
  <si>
    <t>CO7A1_HUMAN_2167</t>
  </si>
  <si>
    <t>ERGMAGPEGKPGLQGPRGPPG</t>
  </si>
  <si>
    <t>CAFF_RIFPA_165</t>
  </si>
  <si>
    <t>VDGLAGPPGPPGPIGSTGSPG</t>
  </si>
  <si>
    <t>ANK1_HUMAN_662</t>
  </si>
  <si>
    <t>ALLLSKQANGNLGNKSGLTPL</t>
  </si>
  <si>
    <t>CO1A2_BRACN_12</t>
  </si>
  <si>
    <t>SNGEPGSAGPPGPAGLRGLPG</t>
  </si>
  <si>
    <t>COEA1_HUMAN_1741</t>
  </si>
  <si>
    <t>PPGSPGPRGPPGHLGVPGPQG</t>
  </si>
  <si>
    <t>CAFF_RIFPA_1011</t>
  </si>
  <si>
    <t>PSGDDGRSGPPGPPGPPGPPG</t>
  </si>
  <si>
    <t>CO1A2_BOVIN_295</t>
  </si>
  <si>
    <t>LPGLSGPVGPPGNPGANGLPG</t>
  </si>
  <si>
    <t>CAFF_RIFPA_843</t>
  </si>
  <si>
    <t>PTGPSGQAGAPGQEGAPGKDG</t>
  </si>
  <si>
    <t>CO1A2_BOVIN_175</t>
  </si>
  <si>
    <t>FPGTPGLPGFKGIRGHNGLDG</t>
  </si>
  <si>
    <t>CO5A1_HUMAN_906</t>
  </si>
  <si>
    <t>EKGGRGTPGKPGPRGQRGPTG</t>
  </si>
  <si>
    <t>CO2A1_RAT_1137</t>
  </si>
  <si>
    <t>ETGPAGPPGNPGPPGPPGPPG</t>
  </si>
  <si>
    <t>O236E_CONTE_54</t>
  </si>
  <si>
    <t>QKRLCPDYTEPCSHAHECCSW</t>
  </si>
  <si>
    <t>H2B1F_MOUSE_58</t>
  </si>
  <si>
    <t>QVHPDTGISSKAMGIMNSFVN</t>
  </si>
  <si>
    <t>CLV3_ARATH_73</t>
  </si>
  <si>
    <t>LGLHEELRTVPSGPDPLHHHV</t>
  </si>
  <si>
    <t>CXAT5_CONCE_56</t>
  </si>
  <si>
    <t>DNEAECQIDTPGSSWGKCCMT</t>
  </si>
  <si>
    <t>PCEP9_ARATH_51</t>
  </si>
  <si>
    <t>GFTDDFVPTSPGNSPGVGHKK</t>
  </si>
  <si>
    <t>CO1A1_CHICK_302</t>
  </si>
  <si>
    <t>PRGLPGERGRPGPSGPAGARG</t>
  </si>
  <si>
    <t>C1QB_HUMAN_77</t>
  </si>
  <si>
    <t>LAGDHGEFGEKGDPGIPGNPG</t>
  </si>
  <si>
    <t>CAFF_RIFPA_810</t>
  </si>
  <si>
    <t>ETGPMGGQGMKGDGGPPGPSG</t>
  </si>
  <si>
    <t>CO1A2_HUMAN_62</t>
  </si>
  <si>
    <t>RDGEDGPTGPPGPPGPPGPPG</t>
  </si>
  <si>
    <t>CO2A1_BOVIN_587</t>
  </si>
  <si>
    <t>PSGAPGEDGRPGPPGPQGARG</t>
  </si>
  <si>
    <t>CO2A1_BOVIN_566</t>
  </si>
  <si>
    <t>LPGARGLTGRPGDAGPQGKVG</t>
  </si>
  <si>
    <t>H14_HUMAN_46</t>
  </si>
  <si>
    <t>SGPPVSELITKAVAASKERSG</t>
  </si>
  <si>
    <t>HSY1_SOLLC_121</t>
  </si>
  <si>
    <t>GRHDYVASPPPPKPQDEQRQI</t>
  </si>
  <si>
    <t>CO1A1_BOVIN_1185</t>
  </si>
  <si>
    <t>PAGPPGPPGPPGPPGPPSGGY</t>
  </si>
  <si>
    <t>CO1A1_CHICK_392</t>
  </si>
  <si>
    <t>QPGAKGATGAPGIAGAPGFPG</t>
  </si>
  <si>
    <t>CM3E_CONPU_64</t>
  </si>
  <si>
    <t>CCMYGRCRRYPGCSSASCCQG</t>
  </si>
  <si>
    <t>CO1A1_CHICK_251</t>
  </si>
  <si>
    <t>ARGLPGTAGLPGMKGHRGFSG</t>
  </si>
  <si>
    <t>AGP16_ARATH_31</t>
  </si>
  <si>
    <t>LSLAGAQSLAPAPAPTSDGTS</t>
  </si>
  <si>
    <t>CO1A1_CHICK_767</t>
  </si>
  <si>
    <t>PIGPPGPAGAPGDKGEAGPPG</t>
  </si>
  <si>
    <t>CP2B_CONBE_13</t>
  </si>
  <si>
    <t>GGVCAYGESCPSSCNTCYSAQ</t>
  </si>
  <si>
    <t>CAFF_RIFPA_429</t>
  </si>
  <si>
    <t>ARGEPGKNGAPGEPGAHGEQG</t>
  </si>
  <si>
    <t>CO1A2_BOVIN_367</t>
  </si>
  <si>
    <t>NKGEPGAVGQPGPPGPSGEEG</t>
  </si>
  <si>
    <t>C6G_CONRE_15</t>
  </si>
  <si>
    <t>PGXEDPDVGEPAGEYEHHLLE</t>
  </si>
  <si>
    <t>C1QT9_MOUSE_64</t>
  </si>
  <si>
    <t>DAGEPGHPGGPGKDGIRGEKG</t>
  </si>
  <si>
    <t>FP1V1_PERVI_209</t>
  </si>
  <si>
    <t>WKAPPPAWSAWKATPKPWTVW</t>
  </si>
  <si>
    <t>CO1A2_BOVIN_346</t>
  </si>
  <si>
    <t>ATGARGLVGEPGPAGSKGESG</t>
  </si>
  <si>
    <t>ELN_HUMAN_342</t>
  </si>
  <si>
    <t>GVVGVPGAGVPGVGVPGAGIP</t>
  </si>
  <si>
    <t>STYD_STYCL_44</t>
  </si>
  <si>
    <t>KFYYKHKYYIKAAWQIGKHAL</t>
  </si>
  <si>
    <t>CA4A_CONMA_61</t>
  </si>
  <si>
    <t>CGYNPMTICPPCMCTYSCPPK</t>
  </si>
  <si>
    <t>FCN3_HUMAN_50</t>
  </si>
  <si>
    <t>VVLLPSCPGAPGSPGEKGAPG</t>
  </si>
  <si>
    <t>KPYM_HUMAN_408</t>
  </si>
  <si>
    <t>LRRLAPITSDPTEATAVGAVE</t>
  </si>
  <si>
    <t>FP1V1_PERVI_139</t>
  </si>
  <si>
    <t>WKATPKPWTAWKATPKPWTAW</t>
  </si>
  <si>
    <t>ANK1_HUMAN_728</t>
  </si>
  <si>
    <t>KFLLQHQADVNAKTKLGYSPL</t>
  </si>
  <si>
    <t>CWP04_PHAVU_17</t>
  </si>
  <si>
    <t>SPPPPPVVSSPPPPYYYYSPP</t>
  </si>
  <si>
    <t>SFTPA_RAT_33</t>
  </si>
  <si>
    <t>TDVCAGSPGIPGAPGNHGLPG</t>
  </si>
  <si>
    <t>CO5A1_HUMAN_873</t>
  </si>
  <si>
    <t>EKGKLGVPGLPGYPGRQGPKG</t>
  </si>
  <si>
    <t>FCN3_HUMAN_59</t>
  </si>
  <si>
    <t>APGSPGEKGAPGPQGPPGPPG</t>
  </si>
  <si>
    <t>CO1A1_CHICK_428</t>
  </si>
  <si>
    <t>PKGNSGEPGAPGNKGDTGAKG</t>
  </si>
  <si>
    <t>FP1V2_PERVI_132</t>
  </si>
  <si>
    <t>TPKPRTAWKAPPPTWTAWKAA</t>
  </si>
  <si>
    <t>FP1V1_PERVI_59</t>
  </si>
  <si>
    <t>WKAHPPAWTAWKATPKPWTAW</t>
  </si>
  <si>
    <t>CO2A1_BOVIN_251</t>
  </si>
  <si>
    <t>PRGPPGPPGKPGDDGEAGKPG</t>
  </si>
  <si>
    <t>CO1A1_CHICK_737</t>
  </si>
  <si>
    <t>LPGAKGDRGDPGPKGADGAPG</t>
  </si>
  <si>
    <t>FP1V1_PERVI_22</t>
  </si>
  <si>
    <t>AVLIGSASAVYHPPSWTAWIA</t>
  </si>
  <si>
    <t>PHE2_RHDS2_41</t>
  </si>
  <si>
    <t>GATSVNMAMDKSAKAPVITIF</t>
  </si>
  <si>
    <t>HIF1A_HUMAN_803</t>
  </si>
  <si>
    <t>PQLTSYDCEVNAPIQGSRNLL</t>
  </si>
  <si>
    <t>SKP1A_DICDI_143</t>
  </si>
  <si>
    <t>KIFNIKNDFTPEEEEQIRKEN</t>
  </si>
  <si>
    <t>ELN_HUMAN_522</t>
  </si>
  <si>
    <t>VGVAPGVGVAPGVGLAPGVGV</t>
  </si>
  <si>
    <t>ADIPO_BOVIN_96</t>
  </si>
  <si>
    <t>PRGFPGTPGRKGEPGESAYVY</t>
  </si>
  <si>
    <t>FCN2_HUMAN_86</t>
  </si>
  <si>
    <t>PPGPPGKAGPPGPNGAPGEPQ</t>
  </si>
  <si>
    <t>CO1A1_CHICK_512</t>
  </si>
  <si>
    <t>SPGAVGPKGSPGEAGRPGEAG</t>
  </si>
  <si>
    <t>CO2A1_BOVIN_518</t>
  </si>
  <si>
    <t>ERGAPGNRGFPGQDGLAGPKG</t>
  </si>
  <si>
    <t>CE192_HUMAN_1717</t>
  </si>
  <si>
    <t>DVKWHLSSLAPPYVKGVDESG</t>
  </si>
  <si>
    <t>C1QA_HUMAN_57</t>
  </si>
  <si>
    <t>LKGEQGEPGAPGIRTGIQGLK</t>
  </si>
  <si>
    <t>CO1A1_TYREX_15</t>
  </si>
  <si>
    <t>APGIAGAPGFPGARGAPGPQG</t>
  </si>
  <si>
    <t>CO4A1_MOUSE_606</t>
  </si>
  <si>
    <t>SRGDIGPPGPPGVGPIGPVGE</t>
  </si>
  <si>
    <t>CO162_CONAH_65</t>
  </si>
  <si>
    <t>YPPGTFCGIKPGLCCSERCFP</t>
  </si>
  <si>
    <t>H2A1D_MOUSE_119</t>
  </si>
  <si>
    <t>LPNIQAVLLPKKTESHHKAKG</t>
  </si>
  <si>
    <t>HSY1_SOLLC_55</t>
  </si>
  <si>
    <t>GNYGRTPYKTPPPPTSSSPTH</t>
  </si>
  <si>
    <t>CO1A1_BRACN_60</t>
  </si>
  <si>
    <t>PIGPPGPAGAPGDKGEAGPSG</t>
  </si>
  <si>
    <t>CAFF_RIFPA_525</t>
  </si>
  <si>
    <t>DRGNVGPRGMPGERGATGPAG</t>
  </si>
  <si>
    <t>CAFF_RIFPA_711</t>
  </si>
  <si>
    <t>AQGEIGLPGSPGQPGLPGPSG</t>
  </si>
  <si>
    <t>CO16A_CONPU_65</t>
  </si>
  <si>
    <t>YAPGTFCGIKPGLCCSEFCLP</t>
  </si>
  <si>
    <t>FA7_HUMAN_123</t>
  </si>
  <si>
    <t>SPCQNGGSCKDQLQSYICFCL</t>
  </si>
  <si>
    <t>CM31_CONLT_58</t>
  </si>
  <si>
    <t>LHAPRDECCEPQWCDGACDCC</t>
  </si>
  <si>
    <t>LANLB_BACLI_46</t>
  </si>
  <si>
    <t>DVNPETTPATTSSWTCITAGV</t>
  </si>
  <si>
    <t>AGP31_ARATH_75</t>
  </si>
  <si>
    <t>HPPAKSPVKPPVKAPVSPPAK</t>
  </si>
  <si>
    <t>ELN_HUMAN_355</t>
  </si>
  <si>
    <t>GVPGAGIPVVPGAGIPGAAVP</t>
  </si>
  <si>
    <t>FP1V2_PERVI_116</t>
  </si>
  <si>
    <t>WTAWKAPPPVWTAWKATPKPR</t>
  </si>
  <si>
    <t>SFTPA_RAT_63</t>
  </si>
  <si>
    <t>DPGPPGPMGPPGGMPGLPGRD</t>
  </si>
  <si>
    <t>CATLL_FASHE_196</t>
  </si>
  <si>
    <t>QFGLETESSYPYTAVEGQCRY</t>
  </si>
  <si>
    <t>CO1A1_CHICK_629</t>
  </si>
  <si>
    <t>ERGEQGPAGAPGFQGLPGPAG</t>
  </si>
  <si>
    <t>ELN_HUMAN_481</t>
  </si>
  <si>
    <t>VPGVPGTGGVPGVGTPAAAAA</t>
  </si>
  <si>
    <t>CO5A1_HUMAN_846</t>
  </si>
  <si>
    <t>PRGEDGPEGPKGRGGPNGDPG</t>
  </si>
  <si>
    <t>STYD_STYCL_41</t>
  </si>
  <si>
    <t>SVGKFYYKHKYYIKAAWQIGK</t>
  </si>
  <si>
    <t>ELN_HUMAN_465</t>
  </si>
  <si>
    <t>AGAGVLGGLVPGPQAAVPGVP</t>
  </si>
  <si>
    <t>ADIPO_MOUSE_94</t>
  </si>
  <si>
    <t>GDVGMTGAEGPRGFPGTPGRK</t>
  </si>
  <si>
    <t>CO2A1_RAT_1119</t>
  </si>
  <si>
    <t>SNGIPGPIGPPGPRGRSGETG</t>
  </si>
  <si>
    <t>FP1V1_PERVI_206</t>
  </si>
  <si>
    <t>WTAWKAPPPAWSAWKATPKPW</t>
  </si>
  <si>
    <t>CO1A2_HUMAN_71</t>
  </si>
  <si>
    <t>PPGPPGPPGPPGLGGNFAAQY</t>
  </si>
  <si>
    <t>C1QB_HUMAN_38</t>
  </si>
  <si>
    <t>QLSCTGPPAIPGIPGIPGTPG</t>
  </si>
  <si>
    <t>FP1V2_PERVI_112</t>
  </si>
  <si>
    <t>TPKPWTAWKAPPPVWTAWKAT</t>
  </si>
  <si>
    <t>AGP16_ARATH_35</t>
  </si>
  <si>
    <t>GAQSLAPAPAPTSDGTSIDQG</t>
  </si>
  <si>
    <t>CAFF_RIFPA_108</t>
  </si>
  <si>
    <t>HRGFRGLSGSKGEQGKSGNQG</t>
  </si>
  <si>
    <t>CO2A1_BOVIN_284</t>
  </si>
  <si>
    <t>ARGFPGTPGLPGVKGHRGYPG</t>
  </si>
  <si>
    <t>CO2A1_BOVIN_416</t>
  </si>
  <si>
    <t>AAGNPGTDGIPGAKGSAGAPG</t>
  </si>
  <si>
    <t>FA9_BOVIN_110</t>
  </si>
  <si>
    <t>NPCLNGGMCKDDINSYECWCQ</t>
  </si>
  <si>
    <t>CO2A1_RAT_1145</t>
  </si>
  <si>
    <t>GNPGPPGPPGPPGPGIDMSAF</t>
  </si>
  <si>
    <t>CO1A1_CHICK_830</t>
  </si>
  <si>
    <t>DAGAKGDAGPPGPAGPTGAPG</t>
  </si>
  <si>
    <t>CDKC_CONVX_21</t>
  </si>
  <si>
    <t>GSTWGRCCLNPMCGNFCCPRS</t>
  </si>
  <si>
    <t>AGP4_ARATH_39</t>
  </si>
  <si>
    <t>TATPPPATPPPVATPPPVATP</t>
  </si>
  <si>
    <t>CO2A1_BOVIN_527</t>
  </si>
  <si>
    <t>FPGQDGLAGPKGAPGERGPSG</t>
  </si>
  <si>
    <t>FP1V1_PERVI_73</t>
  </si>
  <si>
    <t>PKPWTAWKAPPPAWTAWKATP</t>
  </si>
  <si>
    <t>CO1A2_BOVIN_328</t>
  </si>
  <si>
    <t>APGLPGPRGIPGPVGAAGATG</t>
  </si>
  <si>
    <t>CXAT1_CONMI_55</t>
  </si>
  <si>
    <t>RDVQECQVVTPGSKWGRCCLN</t>
  </si>
  <si>
    <t>CAFF_RIFPA_261</t>
  </si>
  <si>
    <t>TAGSPGQAGAKGDGGPTGEQG</t>
  </si>
  <si>
    <t>ELN_HUMAN_116</t>
  </si>
  <si>
    <t>AKAGAGLGGVPGVGGLGVSAG</t>
  </si>
  <si>
    <t>AGP31_ARATH_215</t>
  </si>
  <si>
    <t>KPPVSPPTKPPVTPPVYPPKF</t>
  </si>
  <si>
    <t>CBW_CONRA_22</t>
  </si>
  <si>
    <t>NVTFKTCCGPPGDWQCVEACP</t>
  </si>
  <si>
    <t>CM3A_CONGE_56</t>
  </si>
  <si>
    <t>LFEKRRDCCTPPKKCKDRQCK</t>
  </si>
  <si>
    <t>AGP31_ARATH_210</t>
  </si>
  <si>
    <t>TKAPVKPPVSPPTKPPVTPPV</t>
  </si>
  <si>
    <t>LANNU_STRUB_42</t>
  </si>
  <si>
    <t>TPGCKTGILMTCPLKTATCGC</t>
  </si>
  <si>
    <t>AGP10_ARATH_32</t>
  </si>
  <si>
    <t>QAPGPAPTRSPLPSPAQPPRT</t>
  </si>
  <si>
    <t>CAFF_RIFPA_708</t>
  </si>
  <si>
    <t>ETGAQGEIGLPGSPGQPGLPG</t>
  </si>
  <si>
    <t>CO2A1_BOVIN_233</t>
  </si>
  <si>
    <t>FQGNPGEPGEPGVSGPMGPRG</t>
  </si>
  <si>
    <t>FP1V1_PERVI_105</t>
  </si>
  <si>
    <t>TWTAWKATPKPWTAWKAPPPA</t>
  </si>
  <si>
    <t>CAFF_RIFPA_1013</t>
  </si>
  <si>
    <t>GDDGRSGPPGPPGPPGPPGNS</t>
  </si>
  <si>
    <t>CO1A1_CHICK_680</t>
  </si>
  <si>
    <t>FPGERGVQGPPGPQGPRGANG</t>
  </si>
  <si>
    <t>ADIPO_BOVIN_42</t>
  </si>
  <si>
    <t>AGWMAGIPGHPGHNGTPGRDG</t>
  </si>
  <si>
    <t>CO2A1_BOVIN_368</t>
  </si>
  <si>
    <t>PVGPAGGPGFPGAPGAKGEAG</t>
  </si>
  <si>
    <t>CO6A3_HUMAN_2239</t>
  </si>
  <si>
    <t>AQGPAGPAGPPGLIGEQGISG</t>
  </si>
  <si>
    <t>MBL2_HUMAN_82</t>
  </si>
  <si>
    <t>PPGKLGPPGNPGPSGSPGPKG</t>
  </si>
  <si>
    <t>AGP15_ARATH_29</t>
  </si>
  <si>
    <t>VASAQSEAPAPSPTSGSSAIS</t>
  </si>
  <si>
    <t>IKBA_HUMAN_210</t>
  </si>
  <si>
    <t>ELLVSLGADVNAQEPCNGRTA</t>
  </si>
  <si>
    <t>H3C_MOUSE_65</t>
  </si>
  <si>
    <t>YQKSTELLIRKLPFQRLVREI</t>
  </si>
  <si>
    <t>CONG_BOVIN_162</t>
  </si>
  <si>
    <t>FPGPSGLKGEKGAPGETGAPG</t>
  </si>
  <si>
    <t>PCEP9_ARATH_230</t>
  </si>
  <si>
    <t>DFKPTTPGHSPGVGHAVKNDE</t>
  </si>
  <si>
    <t>CO2A1_BOVIN_245</t>
  </si>
  <si>
    <t>VSGPMGPRGPPGPPGKPGDDG</t>
  </si>
  <si>
    <t>AGP7_ARATH_35</t>
  </si>
  <si>
    <t>APSPTTTVTPPPVATPPPAAT</t>
  </si>
  <si>
    <t>CO1A2_BOVIN_439</t>
  </si>
  <si>
    <t>VRGPNGDSGRPGEPGLMGPRG</t>
  </si>
  <si>
    <t>CHI2_TOBAC_69</t>
  </si>
  <si>
    <t>CQSQCPGGPTPPGGGDLGSII</t>
  </si>
  <si>
    <t>CEX_CONCN_17</t>
  </si>
  <si>
    <t>SQITTCCGYNPGTMCPSCMCT</t>
  </si>
  <si>
    <t>CO1A1_CHICK_887</t>
  </si>
  <si>
    <t>PSGNIGLPGPPGPAGKZGSKG</t>
  </si>
  <si>
    <t>CO1A1_CHICK_1169</t>
  </si>
  <si>
    <t>RTGEVGPVGPPGPPGPPGPPG</t>
  </si>
  <si>
    <t>LANLB_BACLI_48</t>
  </si>
  <si>
    <t>NPETTPATTSSWTCITAGVTV</t>
  </si>
  <si>
    <t>C1QC_HUMAN_75</t>
  </si>
  <si>
    <t>IPGIRGPKGQKGEPGLPGHPG</t>
  </si>
  <si>
    <t>CO1A1_CHICK_236</t>
  </si>
  <si>
    <t>KPGRPGQRGPPGPQGARGLPG</t>
  </si>
  <si>
    <t>ADIPO_BOVIN_60</t>
  </si>
  <si>
    <t>RDGRDGTPGEKGEKGDPGLVG</t>
  </si>
  <si>
    <t>COEA1_HUMAN_1701</t>
  </si>
  <si>
    <t>ERGLTGIKGEKGNPGVGTQGP</t>
  </si>
  <si>
    <t>H2B1F_MOUSE_44</t>
  </si>
  <si>
    <t>RKESYSVYVYKVLKQVHPDTG</t>
  </si>
  <si>
    <t>C1QA_HUMAN_67</t>
  </si>
  <si>
    <t>PGIRTGIQGLKGDQGEPGPSG</t>
  </si>
  <si>
    <t>CO1A1_CHICK_416</t>
  </si>
  <si>
    <t>PSGPQGPSGAPGPKGNSGEPG</t>
  </si>
  <si>
    <t>CO2A1_RAT_1133</t>
  </si>
  <si>
    <t>GRSGETGPAGPPGNPGPPGPP</t>
  </si>
  <si>
    <t>H31_MOUSE_24</t>
  </si>
  <si>
    <t>GKAPRKQLATKAARKSAPATG</t>
  </si>
  <si>
    <t>CBW_CONRA_21</t>
  </si>
  <si>
    <t>CNVTFKTCCGPPGDWQCVEAC</t>
  </si>
  <si>
    <t>ADIPO_HUMAN_76</t>
  </si>
  <si>
    <t>GEKGDPGLIGPKGDIGETGVP</t>
  </si>
  <si>
    <t>CAFF_RIFPA_96</t>
  </si>
  <si>
    <t>AGGMPGMPGPKGHRGFRGLSG</t>
  </si>
  <si>
    <t>AGP4_ARATH_34</t>
  </si>
  <si>
    <t>PAPTPTATPPPATPPPVATPP</t>
  </si>
  <si>
    <t>CAFF_RIFPA_366</t>
  </si>
  <si>
    <t>DTGRQGNQGTPGIAGLPGNPG</t>
  </si>
  <si>
    <t>ELN_HUMAN_589</t>
  </si>
  <si>
    <t>IPGLGVGVGVPGLGVGAGVPG</t>
  </si>
  <si>
    <t>CAFF_RIFPA_717</t>
  </si>
  <si>
    <t>LPGSPGQPGLPGPSGQPGPSG</t>
  </si>
  <si>
    <t>CO5A1_HUMAN_897</t>
  </si>
  <si>
    <t>FPGFPGANGEKGGRGTPGKPG</t>
  </si>
  <si>
    <t>CO1A1_CHICK_590</t>
  </si>
  <si>
    <t>EPGKPGERGAPGPPGAVGAAG</t>
  </si>
  <si>
    <t>AGP31_ARATH_87</t>
  </si>
  <si>
    <t>KAPVSPPAKPPVKPPVYPPTK</t>
  </si>
  <si>
    <t>CAFF_RIFPA_416</t>
  </si>
  <si>
    <t>GLAGLQGRAGPPGARGEPGKN</t>
  </si>
  <si>
    <t>CO1A1_CHICK_671</t>
  </si>
  <si>
    <t>PAGARGERGFPGERGVQGPPG</t>
  </si>
  <si>
    <t>LANP_STAEP_46</t>
  </si>
  <si>
    <t>VKQCQKTLKATRLFTVSCKGK</t>
  </si>
  <si>
    <t>CO3A1_BOVIN_95</t>
  </si>
  <si>
    <t>PRGFPGPPGMKGPAGMPGFPG</t>
  </si>
  <si>
    <t>CO5A1_HUMAN_627</t>
  </si>
  <si>
    <t>ARGMPGQTGPKGDRGFDGLAG</t>
  </si>
  <si>
    <t>U2AF2_HUMAN_276</t>
  </si>
  <si>
    <t>LPNYLNDDQVKELLTSFGPLK</t>
  </si>
  <si>
    <t>CAFF_RIFPA_888</t>
  </si>
  <si>
    <t>LAGLMGQRGLPGAAGPPGDRG</t>
  </si>
  <si>
    <t>AMBN_PIG_37</t>
  </si>
  <si>
    <t>VPAFPRQPGTPGVASLSLETM</t>
  </si>
  <si>
    <t>FP1V1_PERVI_96</t>
  </si>
  <si>
    <t>WTAWKAPPPTWTAWKATPKPW</t>
  </si>
  <si>
    <t>CO1A2_BOVIN_190</t>
  </si>
  <si>
    <t>HNGLDGLKGQPGAPGVKGEPG</t>
  </si>
  <si>
    <t>CO2A1_BOVIN_278</t>
  </si>
  <si>
    <t>PPGPQGARGFPGTPGLPGVKG</t>
  </si>
  <si>
    <t>SFTPA_RAT_76</t>
  </si>
  <si>
    <t>MPGLPGRDGLPGAPGAPGERG</t>
  </si>
  <si>
    <t>LANA_STRMD_33</t>
  </si>
  <si>
    <t>IGGADRGWIKTLTKDCPNVIS</t>
  </si>
  <si>
    <t>COEA1_HUMAN_1677</t>
  </si>
  <si>
    <t>APGEQGPPGTPGFPGNAGVPG</t>
  </si>
  <si>
    <t>INS1A_CONGE_34</t>
  </si>
  <si>
    <t>GNQHTRTFDTPKHRCGSEITN</t>
  </si>
  <si>
    <t>H12_MOUSE_81</t>
  </si>
  <si>
    <t>YDVEKNNSRIKLGLKSLVSKG</t>
  </si>
  <si>
    <t>HSY1_SOLLC_56</t>
  </si>
  <si>
    <t>NYGRTPYKTPPPPTSSSPTHQ</t>
  </si>
  <si>
    <t>CAFF_RIFPA_39</t>
  </si>
  <si>
    <t>QQGYQGLRGEPGDSGPMGPIG</t>
  </si>
  <si>
    <t>CAFF_RIFPA_53</t>
  </si>
  <si>
    <t>GPMGPIGKRGPPGPAGIAGKS</t>
  </si>
  <si>
    <t>CAFF_RIFPA_150</t>
  </si>
  <si>
    <t>ERGRDGKSGLPGLRGVDGLAG</t>
  </si>
  <si>
    <t>COEA1_HUMAN_1747</t>
  </si>
  <si>
    <t>PRGPPGHLGVPGPQGPSGQPG</t>
  </si>
  <si>
    <t>FP1V1_PERVI_255</t>
  </si>
  <si>
    <t>PWTVWKATPKPWTAWKAPPPA</t>
  </si>
  <si>
    <t>CO1A2_BOVIN_226</t>
  </si>
  <si>
    <t>LPGERGRVGAPGPAGARGSDG</t>
  </si>
  <si>
    <t>CO2A1_BOVIN_623</t>
  </si>
  <si>
    <t>EPGKAGEKGLPGAPGLRGLPG</t>
  </si>
  <si>
    <t>LANN_LACLL_25</t>
  </si>
  <si>
    <t>KKDSGASPRITSISLCTPGCK</t>
  </si>
  <si>
    <t>FP1V2_PERVI_129</t>
  </si>
  <si>
    <t>WKATPKPRTAWKAPPPTWTAW</t>
  </si>
  <si>
    <t>CO2A1_BOVIN_425</t>
  </si>
  <si>
    <t>IPGAKGSAGAPGIAGAPGFPG</t>
  </si>
  <si>
    <t>CO5A1_HUMAN_804</t>
  </si>
  <si>
    <t>VKGADGIRGLKGTKGEKGEDG</t>
  </si>
  <si>
    <t>AGP13_ARATH_33</t>
  </si>
  <si>
    <t>QQAAAVEAPAPSPTSDASLAI</t>
  </si>
  <si>
    <t>LANA1_LACLL_32</t>
  </si>
  <si>
    <t>FDEDVFGACSTNTFSLSDYWG</t>
  </si>
  <si>
    <t>FP1V1_PERVI_76</t>
  </si>
  <si>
    <t>WTAWKAPPPAWTAWKATPKPW</t>
  </si>
  <si>
    <t>CO2A1_RAT_602</t>
  </si>
  <si>
    <t>GPSGFQGLPGPPGPPGEGGKQ</t>
  </si>
  <si>
    <t>CO5A1_HUMAN_648</t>
  </si>
  <si>
    <t>LPGEKGHRGDPGPSGPPGPPG</t>
  </si>
  <si>
    <t>AGP9_ARATH_31</t>
  </si>
  <si>
    <t>QAPTSPPTATPAPPTPTTPPP</t>
  </si>
  <si>
    <t>CO5A1_HUMAN_639</t>
  </si>
  <si>
    <t>DRGFDGLAGLPGEKGHRGDPG</t>
  </si>
  <si>
    <t>CO2A1_BOVIN_299</t>
  </si>
  <si>
    <t>HRGYPGLDGAKGEAGAPGVKG</t>
  </si>
  <si>
    <t>CO1A1_CHICK_1112</t>
  </si>
  <si>
    <t>FSGLQGPPGPPGAPGEQGPSG</t>
  </si>
  <si>
    <t>C1QT9_MOUSE_31</t>
  </si>
  <si>
    <t>DTCRQGHSGIPGNPGHNGLPG</t>
  </si>
  <si>
    <t>FP1V2_PERVI_149</t>
  </si>
  <si>
    <t>WKAAPKPWTAWKATPKPWTAW</t>
  </si>
  <si>
    <t>CDK3_CONMS_55</t>
  </si>
  <si>
    <t>RDVRECQVNTPGSSWGKCCMT</t>
  </si>
  <si>
    <t>CAFF_RIFPA_612</t>
  </si>
  <si>
    <t>LPGPSGLAASKGERGDMGSPG</t>
  </si>
  <si>
    <t>COEA1_HUMAN_346</t>
  </si>
  <si>
    <t>SRVEEQDREIKASAHAITGPP</t>
  </si>
  <si>
    <t>NOTC1_HUMAN_421</t>
  </si>
  <si>
    <t>QDVDECSLGANPCEHAGKCIN</t>
  </si>
  <si>
    <t>NOTC1_HUMAN_947</t>
  </si>
  <si>
    <t>FRGTFCEEDINECASDPCRNG</t>
  </si>
  <si>
    <t>ENAM_PIG_84</t>
  </si>
  <si>
    <t>GTLYGNGMQLPQFFPQYQMPM</t>
  </si>
  <si>
    <t>FCN3_HUMAN_18</t>
  </si>
  <si>
    <t>PSLWLLLLGGPACLKTQEHPS</t>
  </si>
  <si>
    <t>HIF1A_HUMAN_215</t>
  </si>
  <si>
    <t>SNQPQCGYKKPPMTCLVLICE</t>
  </si>
  <si>
    <t>PAL_NOSP7_468</t>
  </si>
  <si>
    <t>GYISANLTRRSVDIFQNYMAI</t>
  </si>
  <si>
    <t>PROZ_BOVIN_216</t>
  </si>
  <si>
    <t>GVHVHTRFEADTGHNDVALLD</t>
  </si>
  <si>
    <t>HIF1_CAEEL_400</t>
  </si>
  <si>
    <t>PEDPFDTVIEPVVGGEEPVKQ</t>
  </si>
  <si>
    <t>PAL1_PETCR_390</t>
  </si>
  <si>
    <t>SVNDNPLIDVSRNKAIHGGNF</t>
  </si>
  <si>
    <t>ANK1_HUMAN_34</t>
  </si>
  <si>
    <t>NLDKALDHLRNGVDINTCNQN</t>
  </si>
  <si>
    <t>HIF1_CAEEL_473</t>
  </si>
  <si>
    <t>FMDSSSRTSRPKTSYGRRAQS</t>
  </si>
  <si>
    <t>COEA1_HUMAN_1253</t>
  </si>
  <si>
    <t>FSSVEGVSMEPGTFNVFPCYQ</t>
  </si>
  <si>
    <t>C1QT9_MOUSE_220</t>
  </si>
  <si>
    <t>VISKFPPPDAPIKFDKILYNE</t>
  </si>
  <si>
    <t>C1QC_HUMAN_161</t>
  </si>
  <si>
    <t>YDTSTGKFTCKVPGLYYFVYH</t>
  </si>
  <si>
    <t>CO2A1_BOVIN_1294</t>
  </si>
  <si>
    <t>RDLKLCHPEWKSGDYWIDPNQ</t>
  </si>
  <si>
    <t>HUTH_PSEPU_419</t>
  </si>
  <si>
    <t>PTSANQEDHVSMAPAAGKRLW</t>
  </si>
  <si>
    <t>PERC_AEDAE_501</t>
  </si>
  <si>
    <t>ILIAEYQNVVYNEFLPILLGH</t>
  </si>
  <si>
    <t>CO1A2_CHICK_1154</t>
  </si>
  <si>
    <t>LLTPEGSKKNPARTCRDLRLS</t>
  </si>
  <si>
    <t>CO5A1_HUMAN_259</t>
  </si>
  <si>
    <t>PDTPQSQDPNPDEYYTEGDGE</t>
  </si>
  <si>
    <t>PROS_BOVIN_198</t>
  </si>
  <si>
    <t>NGFVMLSNKKDCKDVDECVLK</t>
  </si>
  <si>
    <t>ENAM_PIG_944</t>
  </si>
  <si>
    <t>ILPGESQNPSPFKDDVSTLRR</t>
  </si>
  <si>
    <t>FA10_HUMAN_216</t>
  </si>
  <si>
    <t>ADLDPTENPFDLLDFNQTQPE</t>
  </si>
  <si>
    <t>CO6A3_HUMAN_1913</t>
  </si>
  <si>
    <t>FDEYQPEMLEKFRNMRSQHPY</t>
  </si>
  <si>
    <t>CO6A3_HUMAN_3017</t>
  </si>
  <si>
    <t>LHWERAEPPGPYFYDLTVTSA</t>
  </si>
  <si>
    <t>CO4A1_BOVIN_1501</t>
  </si>
  <si>
    <t>GSCLRKFSTMPFLFCNINNVC</t>
  </si>
  <si>
    <t>CO1A2_HUMAN_1332</t>
  </si>
  <si>
    <t>NEWGKTIIEYKTNKPSRLPFL</t>
  </si>
  <si>
    <t>C1S_HUMAN_64</t>
  </si>
  <si>
    <t>FTHLDIELSENCAYDSVQIIS</t>
  </si>
  <si>
    <t>KPYM_HUMAN_302</t>
  </si>
  <si>
    <t>VARGDLGIEIPAEKVFLAQKM</t>
  </si>
  <si>
    <t>ADRB2_HUMAN_20</t>
  </si>
  <si>
    <t>FLLAPNGSHAPDHDVTQERDE</t>
  </si>
  <si>
    <t>PROC_BOVIN_197</t>
  </si>
  <si>
    <t>MEKKRKTLKRDTNQVDQKDQL</t>
  </si>
  <si>
    <t>FA7_HUMAN_256</t>
  </si>
  <si>
    <t>IWVVSAAHCFDKIKNWRNLIA</t>
  </si>
  <si>
    <t>AGO2_HUMAN_170</t>
  </si>
  <si>
    <t>QALDVVMRHLPSMRYTPVGRS</t>
  </si>
  <si>
    <t>FA10_BOVIN_73</t>
  </si>
  <si>
    <t>SLEEAREVFEDAEQTDEFWSK</t>
  </si>
  <si>
    <t>ARRB2_HUMAN_125</t>
  </si>
  <si>
    <t>PFFFTIPQNLPCSVTLQPGPE</t>
  </si>
  <si>
    <t>CE192_HUMAN_468</t>
  </si>
  <si>
    <t>IEKNKDKTDLPQSVVYQNEEG</t>
  </si>
  <si>
    <t>ENAM_PIG_12</t>
  </si>
  <si>
    <t>LLSCRHGASSPKLDNLVPSGK</t>
  </si>
  <si>
    <t>MYPT1_HUMAN_482</t>
  </si>
  <si>
    <t>SSPRLSSSLDNKEKEKDSKGT</t>
  </si>
  <si>
    <t>C1QT9_MOUSE_268</t>
  </si>
  <si>
    <t>FSRNVQVSLVKNGVKVLHTKD</t>
  </si>
  <si>
    <t>CO1A2_CHICK_1217</t>
  </si>
  <si>
    <t>PTKTWYVSKNPKDKKHIWFGE</t>
  </si>
  <si>
    <t>CE192_HUMAN_1556</t>
  </si>
  <si>
    <t>FTFSKESVRAPVEVAPCADVV</t>
  </si>
  <si>
    <t>IKKB_HUMAN_80</t>
  </si>
  <si>
    <t>HPNVVAARDVPEGMQNLAPND</t>
  </si>
  <si>
    <t>TRBM_HUMAN_409</t>
  </si>
  <si>
    <t>HEPHRCQMFCNQTACPADCDP</t>
  </si>
  <si>
    <t>UMEC_ARMRU_80</t>
  </si>
  <si>
    <t>PVKIMLNTTGPQYYICTVGDH</t>
  </si>
  <si>
    <t>NOSM_STRAS_17</t>
  </si>
  <si>
    <t>SDLDIDALEISEFLDESRLED</t>
  </si>
  <si>
    <t>COW_CONSE_40</t>
  </si>
  <si>
    <t>DRDAVPRDDNPSGTDGKFMNV</t>
  </si>
  <si>
    <t>NOSM_STRAS_23</t>
  </si>
  <si>
    <t>ALEISEFLDESRLEDSEVVAK</t>
  </si>
  <si>
    <t>PAL_ANAVT_73</t>
  </si>
  <si>
    <t>SCDYINNAVESGEPIYGVTSG</t>
  </si>
  <si>
    <t>COAA1_CHICK_614</t>
  </si>
  <si>
    <t>VWVALYKNGSPVMYTYDEYQK</t>
  </si>
  <si>
    <t>CO6A3_HUMAN_1699</t>
  </si>
  <si>
    <t>DEFFLKDFSTKRQIIDAINKV</t>
  </si>
  <si>
    <t>COEA1_HUMAN_1218</t>
  </si>
  <si>
    <t>FVCETASATCPVVHKDGIDLA</t>
  </si>
  <si>
    <t>LC7L2_HUMAN_61</t>
  </si>
  <si>
    <t>GTRMDLGECLKVHDLALRADY</t>
  </si>
  <si>
    <t>CM3C_CONTE_49</t>
  </si>
  <si>
    <t>ISFENNPFYDPAKRCCRTCFG</t>
  </si>
  <si>
    <t>ANK1_HUMAN_1492</t>
  </si>
  <si>
    <t>MLEGSGRQSRNLKPDRRHTDR</t>
  </si>
  <si>
    <t>NOTC1_HUMAN_754</t>
  </si>
  <si>
    <t>GWSGTNCDINNNECESNPCVN</t>
  </si>
  <si>
    <t>PAL_NOSP7_395</t>
  </si>
  <si>
    <t>HIDVQIALLVSPEFSNGLPPS</t>
  </si>
  <si>
    <t>CM3E_CONPU_31</t>
  </si>
  <si>
    <t>LMDGDQPADRPAERMDYDISS</t>
  </si>
  <si>
    <t>MYPT1_HUMAN_288</t>
  </si>
  <si>
    <t>GYLEELQKKQNLLHSEKRDKK</t>
  </si>
  <si>
    <t>CO1A1_BOVIN_82</t>
  </si>
  <si>
    <t>DVICDELKDCPNAKVPTDECC</t>
  </si>
  <si>
    <t>IKKB_HUMAN_148</t>
  </si>
  <si>
    <t>ENRIIHRDLKPENIVLQQGEQ</t>
  </si>
  <si>
    <t>FA10_BOVIN_159</t>
  </si>
  <si>
    <t>CSCAHGYVLGDDSKSCVSTER</t>
  </si>
  <si>
    <t>MBL1_RAT_199</t>
  </si>
  <si>
    <t>TGGRLTYSNWKKDEPNDHGSG</t>
  </si>
  <si>
    <t>PROC_BOVIN_167</t>
  </si>
  <si>
    <t>CSCAPGYRLEDDHQLCVSKVT</t>
  </si>
  <si>
    <t>HIF1_CAEEL_581</t>
  </si>
  <si>
    <t>IGSNDVFSTMPFADSIAIAER</t>
  </si>
  <si>
    <t>RBL_CHLRE_453</t>
  </si>
  <si>
    <t>DVIRSACKWSPELAAACEVWK</t>
  </si>
  <si>
    <t>TNKS2_HUMAN_1023</t>
  </si>
  <si>
    <t>RKEVSEENHNHANERMLFHGS</t>
  </si>
  <si>
    <t>SKP1A_DICDI_65</t>
  </si>
  <si>
    <t>LDYCRHHHQHPSPQGDDKKDE</t>
  </si>
  <si>
    <t>CO6A3_HUMAN_1788</t>
  </si>
  <si>
    <t>VRNIDSEEVGKIASNSATAFR</t>
  </si>
  <si>
    <t>NOTC1_HUMAN_280</t>
  </si>
  <si>
    <t>GACVDGVNTYNCRCPPEWTGQ</t>
  </si>
  <si>
    <t>NOTC1_HUMAN_1484</t>
  </si>
  <si>
    <t>WDGGDCSLNFNDPWKNCTQSL</t>
  </si>
  <si>
    <t>CO9A2_CHICK_543</t>
  </si>
  <si>
    <t>EQLAEVAVSAKRAALGGVGAM</t>
  </si>
  <si>
    <t>LTBP1_HUMAN_1670</t>
  </si>
  <si>
    <t>CVDVNECDELNNRMSLCKNAK</t>
  </si>
  <si>
    <t>CE192_HUMAN_2185</t>
  </si>
  <si>
    <t>TVTPQHGCVAPESKLQILVSP</t>
  </si>
  <si>
    <t>PROS_BOVIN_418</t>
  </si>
  <si>
    <t>NKPGSLFKPTNGFLETKVYFA</t>
  </si>
  <si>
    <t>LC7L2_HUMAN_161</t>
  </si>
  <si>
    <t>ESQKVMDEVEKARAKKREAEE</t>
  </si>
  <si>
    <t>CO1A1_MOUSE_1294</t>
  </si>
  <si>
    <t>TGQTCVFPTQPSVPQKNWYIS</t>
  </si>
  <si>
    <t>CO6A3_HUMAN_3081</t>
  </si>
  <si>
    <t>HGSFSTKKSQPPPPQPARSAS</t>
  </si>
  <si>
    <t>CO5A1_HUMAN_329</t>
  </si>
  <si>
    <t>PMPETSEGAGKEEDVGIGDYD</t>
  </si>
  <si>
    <t>CO2A1_BOVIN_1467</t>
  </si>
  <si>
    <t>TSRLPIIDIAPMDIGGPEQEF</t>
  </si>
  <si>
    <t>NFKB1_HUMAN_246</t>
  </si>
  <si>
    <t>SDAIYDSKAPNASNLKIVRMD</t>
  </si>
  <si>
    <t>CO6A3_HUMAN_687</t>
  </si>
  <si>
    <t>RVGLVQFSDTPVTEFSLNTYQ</t>
  </si>
  <si>
    <t>CO6A3_HUMAN_414</t>
  </si>
  <si>
    <t>EFRSFGDLQEKLLPYIVGVAQ</t>
  </si>
  <si>
    <t>C1S_HUMAN_191</t>
  </si>
  <si>
    <t>TALIGEIASPNYPKPYPENSR</t>
  </si>
  <si>
    <t>CO6A3_HUMAN_2655</t>
  </si>
  <si>
    <t>LVRQLDMSPDPKASQHFARVA</t>
  </si>
  <si>
    <t>C1QA_HUMAN_143</t>
  </si>
  <si>
    <t>FDTVITNQEEPYQNHSGRFVC</t>
  </si>
  <si>
    <t>HUTH_PSEPU_353</t>
  </si>
  <si>
    <t>ALAIAEIGSLSERRISLMMDK</t>
  </si>
  <si>
    <t>COEA1_HUMAN_309</t>
  </si>
  <si>
    <t>VNELQEIASEPDSTHVYNVAE</t>
  </si>
  <si>
    <t>CO5A1_HUMAN_312</t>
  </si>
  <si>
    <t>ETTEVPEELTPTPTEAAPMPE</t>
  </si>
  <si>
    <t>TNKS2_HUMAN_531</t>
  </si>
  <si>
    <t>DIEGRQSTPLHFAAGYNRVSV</t>
  </si>
  <si>
    <t>CO2A1_BOVIN_87</t>
  </si>
  <si>
    <t>SPETPFGECCPICSADLPTAS</t>
  </si>
  <si>
    <t>NOTC1_MOUSE_70</t>
  </si>
  <si>
    <t>SNPCLSTPCKNAGTCHVVDHG</t>
  </si>
  <si>
    <t>CO4A3_BOVIN_331</t>
  </si>
  <si>
    <t>SYWLSTPAMIPMDMAPITGRA</t>
  </si>
  <si>
    <t>PAM_TAXWC_468</t>
  </si>
  <si>
    <t>NQDINSLALISARKTEEALDI</t>
  </si>
  <si>
    <t>HIF1A_HUMAN_89</t>
  </si>
  <si>
    <t>DIEDDMKAQMNCFYLKALDGF</t>
  </si>
  <si>
    <t>AGO2_HUMAN_249</t>
  </si>
  <si>
    <t>DFKSIEEQQKPLTDSQRVKFT</t>
  </si>
  <si>
    <t>COEA1_HUMAN_1091</t>
  </si>
  <si>
    <t>PRTEFKLNAYKTKETLLDAIK</t>
  </si>
  <si>
    <t>CE192_HUMAN_1687</t>
  </si>
  <si>
    <t>NIEVYLDIKVPEQGSHFSVDP</t>
  </si>
  <si>
    <t>NOTC1_HUMAN_605</t>
  </si>
  <si>
    <t>YTGHHCETNINECSSQPCRHG</t>
  </si>
  <si>
    <t>PAL_ANAVT_271</t>
  </si>
  <si>
    <t>NQSFHPFIHNSKPHPGQLWAA</t>
  </si>
  <si>
    <t>NOTC1_HUMAN_70</t>
  </si>
  <si>
    <t>PNPCLSTPCKNAGTCHVVDRR</t>
  </si>
  <si>
    <t>NOTC1_HUMAN_253</t>
  </si>
  <si>
    <t>CACLPGFTGQNCEENIDDCPG</t>
  </si>
  <si>
    <t>MBL1_RAT_169</t>
  </si>
  <si>
    <t>EENKAIQEVAKTSAFLGITDE</t>
  </si>
  <si>
    <t>IKKB_HUMAN_627</t>
  </si>
  <si>
    <t>VCKQKALELLPKVEEVVSLMN</t>
  </si>
  <si>
    <t>CO6A3_HUMAN_1687</t>
  </si>
  <si>
    <t>QVGLVQYNSDPTDEFFLKDFS</t>
  </si>
  <si>
    <t>TRBM_HUMAN_116</t>
  </si>
  <si>
    <t>RGFQWVTGDNNTSYSRWARLD</t>
  </si>
  <si>
    <t>LC7L2_HUMAN_154</t>
  </si>
  <si>
    <t>GAEGNVEESQKVMDEVEKARA</t>
  </si>
  <si>
    <t>TDIF_ZINVI_109</t>
  </si>
  <si>
    <t>HPKRTHHQSHPKPTRSFEAGA</t>
  </si>
  <si>
    <t>NOTC1_MOUSE_1185</t>
  </si>
  <si>
    <t>YHGSNCSEEINECLSQPCQNG</t>
  </si>
  <si>
    <t>IKKB_HUMAN_668</t>
  </si>
  <si>
    <t>LKIACSKVRGPVSGSPDSMNA</t>
  </si>
  <si>
    <t>CO4A3_BOVIN_369</t>
  </si>
  <si>
    <t>IAVHSQTTDIPPCPAGWISLW</t>
  </si>
  <si>
    <t>AGO2_HUMAN_580</t>
  </si>
  <si>
    <t>KLGGVNNILLPQGRPPVFQQP</t>
  </si>
  <si>
    <t>CO6A3_HUMAN_2519</t>
  </si>
  <si>
    <t>RKVAVFFSNTPTRASPQLREA</t>
  </si>
  <si>
    <t>PROC_HUMAN_231</t>
  </si>
  <si>
    <t>GDSPWQVVLLDSKKKLACGAV</t>
  </si>
  <si>
    <t>PALY_RHOTO_602</t>
  </si>
  <si>
    <t>DLVPRWHDAFSFAAGTVVEVL</t>
  </si>
  <si>
    <t>HIF1_CAEEL_667</t>
  </si>
  <si>
    <t>AARPVHIDRSPPAKRMHQSGP</t>
  </si>
  <si>
    <t>CE192_HUMAN_1127</t>
  </si>
  <si>
    <t>ATETTSLSSKPEYVKPDFRWS</t>
  </si>
  <si>
    <t>AMBN_PIG_186</t>
  </si>
  <si>
    <t>AELPGLDFADPQDPSMFPIAR</t>
  </si>
  <si>
    <t>CO4A1_BOVIN_1568</t>
  </si>
  <si>
    <t>MAVHSQTIQIPQCPTGWSSLW</t>
  </si>
  <si>
    <t>COEA1_HUMAN_787</t>
  </si>
  <si>
    <t>EEEVIGTVMVPGSQNNLLLKP</t>
  </si>
  <si>
    <t>C1S_HUMAN_233</t>
  </si>
  <si>
    <t>FDVEAADSAGNCLDSLVFVAG</t>
  </si>
  <si>
    <t>UMEC_ARMRU_62</t>
  </si>
  <si>
    <t>DAFDNCKKENPISHMTTPPVK</t>
  </si>
  <si>
    <t>MASP2_RAT_176</t>
  </si>
  <si>
    <t>SCRVGYILHQNKHTCSALCSG</t>
  </si>
  <si>
    <t>CONG_BOVIN_303</t>
  </si>
  <si>
    <t>AVTQMVRAQEKNAYLSMNDIS</t>
  </si>
  <si>
    <t>TELO2_HUMAN_278</t>
  </si>
  <si>
    <t>LTGLVEAALGPEVLSRLLGNL</t>
  </si>
  <si>
    <t>COEA1_HUMAN_852</t>
  </si>
  <si>
    <t>YNRLRITWDPPSSPVKGYRIV</t>
  </si>
  <si>
    <t>NOTC1_HUMAN_2039</t>
  </si>
  <si>
    <t>KSALHWAAAVNNVDAAVVLLK</t>
  </si>
  <si>
    <t>CE192_HUMAN_1095</t>
  </si>
  <si>
    <t>RAMEKLREKVPFQNRGKGTLS</t>
  </si>
  <si>
    <t>FA9_BOVIN_341</t>
  </si>
  <si>
    <t>YVTPICIADRDYTNIFLKFGY</t>
  </si>
  <si>
    <t>PAM_TAXWC_91</t>
  </si>
  <si>
    <t>GVTTGFGACSSRRTNRLSELQ</t>
  </si>
  <si>
    <t>HIF1A_HUMAN_708</t>
  </si>
  <si>
    <t>RTTVPEEELNPKILALQNAQR</t>
  </si>
  <si>
    <t>CO6A3_HUMAN_2834</t>
  </si>
  <si>
    <t>NAFYLSPDIRKQCDWFQGDQP</t>
  </si>
  <si>
    <t>CE192_HUMAN_1905</t>
  </si>
  <si>
    <t>SYMVTVNGLVPGKESKIVFSV</t>
  </si>
  <si>
    <t>PALY_RHOTO_479</t>
  </si>
  <si>
    <t>GLDIAAAAYTSELGHLANPVT</t>
  </si>
  <si>
    <t>NFKB1_HUMAN_576</t>
  </si>
  <si>
    <t>TSGLISDDIINMRNDLYQTPL</t>
  </si>
  <si>
    <t>TNKS2_HUMAN_288</t>
  </si>
  <si>
    <t>FTPLHEAASKNRVEVCSLLLS</t>
  </si>
  <si>
    <t>TNKS2_HUMAN_413</t>
  </si>
  <si>
    <t>PLHVASEKAHNDVVEVVVKHE</t>
  </si>
  <si>
    <t>SFTPD_RAT_236</t>
  </si>
  <si>
    <t>LRQQMEALNGKLQRLEAAFSR</t>
  </si>
  <si>
    <t>ENAM_PIG_417</t>
  </si>
  <si>
    <t>PMVTNVAPPGPKHGTVDQNEN</t>
  </si>
  <si>
    <t>PALY_RHOTO_696</t>
  </si>
  <si>
    <t>KQEVTIGSNVSKIYEAIKSGR</t>
  </si>
  <si>
    <t>COEA1_HUMAN_1114</t>
  </si>
  <si>
    <t>SYKGGNTKTGKAIKYVRDTLF</t>
  </si>
  <si>
    <t>CO1A1_MOUSE_1197</t>
  </si>
  <si>
    <t>FSFLPQPPQEKSQDGGRYYRA</t>
  </si>
  <si>
    <t>ANK1_HUMAN_492</t>
  </si>
  <si>
    <t>HTNMVKLLLENNANPNLATTA</t>
  </si>
  <si>
    <t>LTBP1_HUMAN_386</t>
  </si>
  <si>
    <t>KGNTTTLISENGHAADTLTAT</t>
  </si>
  <si>
    <t>LTBP1_HUMAN_1664</t>
  </si>
  <si>
    <t>DTAKMTCVDVNECDELNNRMS</t>
  </si>
  <si>
    <t>HIF1_CAEEL_436</t>
  </si>
  <si>
    <t>WLFRDQPSSPPPARYRSADRF</t>
  </si>
  <si>
    <t>TELO2_HUMAN_236</t>
  </si>
  <si>
    <t>RQQEILGVLVPRLAALTQGSY</t>
  </si>
  <si>
    <t>ENAM_PIG_633</t>
  </si>
  <si>
    <t>TMGQPENPHYPMNTPDPKETI</t>
  </si>
  <si>
    <t>RL27A_HUMAN_17</t>
  </si>
  <si>
    <t>KTRKLRGHVSHGHGRIGKHRK</t>
  </si>
  <si>
    <t>TNKS2_HUMAN_626</t>
  </si>
  <si>
    <t>ADPTKKNRDGNTPLDLVKDGD</t>
  </si>
  <si>
    <t>CT5A_CONTE_31</t>
  </si>
  <si>
    <t>DARTKTDDDVPLSSLRDNLKR</t>
  </si>
  <si>
    <t>RL27A_HUMAN_62</t>
  </si>
  <si>
    <t>YFGKVGMKHYHLKRNQSFCPT</t>
  </si>
  <si>
    <t>PROC_HUMAN_65</t>
  </si>
  <si>
    <t>LERECIEEICDFEEAKEIFQN</t>
  </si>
  <si>
    <t>MYPT1_HUMAN_382</t>
  </si>
  <si>
    <t>DKTKPLASVTNANTSSTQAAP</t>
  </si>
  <si>
    <t>HUTH_PSEPU_268</t>
  </si>
  <si>
    <t>RDLLGDSSEVSLSHKNCDKVQ</t>
  </si>
  <si>
    <t>NOTC1_MOUSE_1409</t>
  </si>
  <si>
    <t>NQGTCEPTSENPFYRCLCPAK</t>
  </si>
  <si>
    <t>LTBP1_HUMAN_1087</t>
  </si>
  <si>
    <t>CRDIDECQQGNLCVNGQCKNT</t>
  </si>
  <si>
    <t>TAM_STRGL_14</t>
  </si>
  <si>
    <t>TQVETEIVPVSVDGETLTVEA</t>
  </si>
  <si>
    <t>CO6A3_HUMAN_3015</t>
  </si>
  <si>
    <t>AKLHWERAEPPGPYFYDLTVT</t>
  </si>
  <si>
    <t>PAL_NOSP7_438</t>
  </si>
  <si>
    <t>IMPLLSFYGNSLADRFPTHAE</t>
  </si>
  <si>
    <t>IKKB_HUMAN_673</t>
  </si>
  <si>
    <t>SKVRGPVSGSPDSMNASRLSQ</t>
  </si>
  <si>
    <t>CO4A3_BOVIN_327</t>
  </si>
  <si>
    <t>RNDYSYWLSTPAMIPMDMAPI</t>
  </si>
  <si>
    <t>PAL_NOSP7_433</t>
  </si>
  <si>
    <t>ISGNSIMPLLSFYGNSLADRF</t>
  </si>
  <si>
    <t>MBL1_RAT_122</t>
  </si>
  <si>
    <t>TNKLHAFSMGKKSGKKFFVTN</t>
  </si>
  <si>
    <t>PALY_RHOTO_377</t>
  </si>
  <si>
    <t>TSPQWLGPLVSDLIHAHAVLT</t>
  </si>
  <si>
    <t>CT5AB_CONTE_34</t>
  </si>
  <si>
    <t>TKTDDDVPLSPLRDNLKRTIR</t>
  </si>
  <si>
    <t>NOTC1_HUMAN_109</t>
  </si>
  <si>
    <t>LTPLDNACLTNPCRNGGTCDL</t>
  </si>
  <si>
    <t>PAL1_PETCR_450</t>
  </si>
  <si>
    <t>PSNLSGGRNPSLDYGFKGAEI</t>
  </si>
  <si>
    <t>CO6A3_HUMAN_2895</t>
  </si>
  <si>
    <t>TTTKPVTTTTKPVTIINQPSV</t>
  </si>
  <si>
    <t>PROS_BOVIN_292</t>
  </si>
  <si>
    <t>CEAVPVCLPLDLDKNYELLYL</t>
  </si>
  <si>
    <t>FA9_BOVIN_150</t>
  </si>
  <si>
    <t>RCKQFCKRDTDNKVVCSCTDG</t>
  </si>
  <si>
    <t>CO1A1_MOUSE_93</t>
  </si>
  <si>
    <t>CAFCPEEYVSPNSEDVGVEGP</t>
  </si>
  <si>
    <t>COEA1_HUMAN_194</t>
  </si>
  <si>
    <t>LVTAFDVGSEKTRIGLAQYSG</t>
  </si>
  <si>
    <t>FIBA_HUMAN_246</t>
  </si>
  <si>
    <t>NFKSQLQKVPPEWKALTDMPQ</t>
  </si>
  <si>
    <t>PROS_BOVIN_406</t>
  </si>
  <si>
    <t>SVKIAKEAVMNINKPGSLFKP</t>
  </si>
  <si>
    <t>CO6A3_HUMAN_3127</t>
  </si>
  <si>
    <t>DEGTCRDFILKWYYDPNTKSC</t>
  </si>
  <si>
    <t>COEA1_HUMAN_979</t>
  </si>
  <si>
    <t>TTRHCFYGLQPDSEYKISVYT</t>
  </si>
  <si>
    <t>CO1A1_BOVIN_1309</t>
  </si>
  <si>
    <t>VYPTQPSVAQKNWYISKNPKE</t>
  </si>
  <si>
    <t>AMBN_PIG_402</t>
  </si>
  <si>
    <t>ATPYSEHTSMPGNKAQQPQIK</t>
  </si>
  <si>
    <t>ADIPO_BOVIN_202</t>
  </si>
  <si>
    <t>ASGSVLLYLEKGDQVWLQVYE</t>
  </si>
  <si>
    <t>HUTH_PSEPU_411</t>
  </si>
  <si>
    <t>HPHSVDSLPTSANQEDHVSMA</t>
  </si>
  <si>
    <t>BDS2A_ANTMC_29</t>
  </si>
  <si>
    <t>AAEEEYVERAPVKRALLSCRC</t>
  </si>
  <si>
    <t>ADIPO_HUMAN_180</t>
  </si>
  <si>
    <t>DVKVSLFKKDKAMLFTYDQYQ</t>
  </si>
  <si>
    <t>LTBP1_HUMAN_59</t>
  </si>
  <si>
    <t>PRSRTFNVALNARYSRSSAAA</t>
  </si>
  <si>
    <t>NOTC1_HUMAN_1489</t>
  </si>
  <si>
    <t>CSLNFNDPWKNCTQSLQCWKY</t>
  </si>
  <si>
    <t>PAM_TAXWC_407</t>
  </si>
  <si>
    <t>QFTELMIEYYSNGLPGNLSLG</t>
  </si>
  <si>
    <t>FA7_HUMAN_146</t>
  </si>
  <si>
    <t>FEGRNCETHKDDQLICVNENG</t>
  </si>
  <si>
    <t>CO1A1_MOUSE_75</t>
  </si>
  <si>
    <t>QCNEELDCPNPQRREGECCAF</t>
  </si>
  <si>
    <t>CO7A1_HUMAN_1104</t>
  </si>
  <si>
    <t>GLLSYSHRPSPLFPLNGSHDL</t>
  </si>
  <si>
    <t>CO6A3_HUMAN_155</t>
  </si>
  <si>
    <t>VIVVLTDGHSKDGLALPSAEL</t>
  </si>
  <si>
    <t>ENAM_PIG_98</t>
  </si>
  <si>
    <t>PQYQMPMWPQPPPNKKHPQKP</t>
  </si>
  <si>
    <t>C1QA_HUMAN_115</t>
  </si>
  <si>
    <t>SPGNIKDQPRPAFSAIRRNPP</t>
  </si>
  <si>
    <t>LTBP1_HUMAN_481</t>
  </si>
  <si>
    <t>QQGVKVKFPPNIVNIHVKHPP</t>
  </si>
  <si>
    <t>HUTH_PSEPU_312</t>
  </si>
  <si>
    <t>EVLGIEANAVSDNPLVFAAEG</t>
  </si>
  <si>
    <t>MBL1_RAT_126</t>
  </si>
  <si>
    <t>HAFSMGKKSGKKFFVTNHERM</t>
  </si>
  <si>
    <t>CE192_HUMAN_1348</t>
  </si>
  <si>
    <t>QNLLSTTKPFPVPSVGTNCGI</t>
  </si>
  <si>
    <t>CO1A1_CHICK_1422</t>
  </si>
  <si>
    <t>GKTVIEYKTTKTSRLPIIDLA</t>
  </si>
  <si>
    <t>ANK1_HUMAN_44</t>
  </si>
  <si>
    <t>NGVDINTCNQNGLNGLHLASK</t>
  </si>
  <si>
    <t>CO7A1_HUMAN_1059</t>
  </si>
  <si>
    <t>PRGLADVVFLPHATQDNAHRA</t>
  </si>
  <si>
    <t>CO1A2_HUMAN_1335</t>
  </si>
  <si>
    <t>GKTIIEYKTNKPSRLPFLDIA</t>
  </si>
  <si>
    <t>PROS_BOVIN_472</t>
  </si>
  <si>
    <t>GVKEIIQEKQNKHCLVNVEKG</t>
  </si>
  <si>
    <t>ARRB2_HUMAN_37</t>
  </si>
  <si>
    <t>DFVDHLDKVDPVDGVVLVDPD</t>
  </si>
  <si>
    <t>SFTPA_RAT_165</t>
  </si>
  <si>
    <t>CTRAGGNIAVPRTPEENEAIA</t>
  </si>
  <si>
    <t>MYPT1_HUMAN_724</t>
  </si>
  <si>
    <t>SRSTRTREQENEEKEKEEKEK</t>
  </si>
  <si>
    <t>PERC_AEDAE_183</t>
  </si>
  <si>
    <t>VYGHVFASRKYAELTNMTLKQ</t>
  </si>
  <si>
    <t>CO1A2_HUMAN_1346</t>
  </si>
  <si>
    <t>PSRLPFLDIAPLDIGGADQEF</t>
  </si>
  <si>
    <t>ENAM_PIG_147</t>
  </si>
  <si>
    <t>KQPLNEPSPTPTQPEEETQTP</t>
  </si>
  <si>
    <t>CO7A1_HUMAN_688</t>
  </si>
  <si>
    <t>VIVARTDPLGPVRTVHVTQAS</t>
  </si>
  <si>
    <t>CE192_HUMAN_1588</t>
  </si>
  <si>
    <t>MMPASYDGQDPEFLMIWVLFH</t>
  </si>
  <si>
    <t>CO5A1_HUMAN_109</t>
  </si>
  <si>
    <t>DFSILTTVKAKKGSQAFLVSI</t>
  </si>
  <si>
    <t>THCL_STRAJ_14</t>
  </si>
  <si>
    <t>TAIHERWSVMSNASIGQEIGV</t>
  </si>
  <si>
    <t>NOTC1_HUMAN_2058</t>
  </si>
  <si>
    <t>LKNGANKDMQNNREETPLFLA</t>
  </si>
  <si>
    <t>CO6A3_HUMAN_1946</t>
  </si>
  <si>
    <t>KFRQSSPDSVKVVIHFTDGAD</t>
  </si>
  <si>
    <t>RBL_CHLRE_210</t>
  </si>
  <si>
    <t>TKDDENVNSQPFMRWRDRFLF</t>
  </si>
  <si>
    <t>C1R_HUMAN_572</t>
  </si>
  <si>
    <t>ELENSVTLGPNLLPICLPDND</t>
  </si>
  <si>
    <t>C1S_HUMAN_170</t>
  </si>
  <si>
    <t>PEYFLHDDMKNCGVNCSGDVF</t>
  </si>
  <si>
    <t>CO5A1_HUMAN_52</t>
  </si>
  <si>
    <t>LLKVLDFHNLPDGITKTTGFC</t>
  </si>
  <si>
    <t>HIF1A_HUMAN_529</t>
  </si>
  <si>
    <t>YCFYVDSDMVNEFKLELVEKL</t>
  </si>
  <si>
    <t>FA7_HUMAN_279</t>
  </si>
  <si>
    <t>GEHDLSEHDGDEQSRRVAQVI</t>
  </si>
  <si>
    <t>COEA1_HUMAN_1200</t>
  </si>
  <si>
    <t>FFVDDFDAFKKIEDELITFVC</t>
  </si>
  <si>
    <t>PALY_RHOTO_97</t>
  </si>
  <si>
    <t>SDEIRSKIDKSVEFLRSQLSM</t>
  </si>
  <si>
    <t>HIF1A_HUMAN_582</t>
  </si>
  <si>
    <t>FQLRSFDQLSPLESSSASPES</t>
  </si>
  <si>
    <t>FA10_HUMAN_347</t>
  </si>
  <si>
    <t>NVAPACLPERDWAESTLMTQK</t>
  </si>
  <si>
    <t>COEA1_HUMAN_32</t>
  </si>
  <si>
    <t>FCTIVQGQVAPPTRLRYNVIS</t>
  </si>
  <si>
    <t>PAL_ANAVT_461</t>
  </si>
  <si>
    <t>NQNINSQGYTSATLARRSVDI</t>
  </si>
  <si>
    <t>PROS_BOVIN_43</t>
  </si>
  <si>
    <t>SQVLIRRRRANTLLEETKKGN</t>
  </si>
  <si>
    <t>C1S_HUMAN_528</t>
  </si>
  <si>
    <t>EVPEGRTNFDNDIALVRLKDP</t>
  </si>
  <si>
    <t>CONG_BOVIN_344</t>
  </si>
  <si>
    <t>GEPNNSDEGQPENCVEIFPDG</t>
  </si>
  <si>
    <t>CO6A3_HUMAN_806</t>
  </si>
  <si>
    <t>VYLMDDFSSLPALPQQLIQPL</t>
  </si>
  <si>
    <t>CO7A1_HUMAN_176</t>
  </si>
  <si>
    <t>QGVKLFAVGIKNADPEELKRV</t>
  </si>
  <si>
    <t>CO5A1_HUMAN_296</t>
  </si>
  <si>
    <t>LGKEPTPSKKPVEAAKETTEV</t>
  </si>
  <si>
    <t>CO5A2_HUMAN_1355</t>
  </si>
  <si>
    <t>PRKTWWASKSPDNKPVWYGLD</t>
  </si>
  <si>
    <t>ADIPO_BOVIN_175</t>
  </si>
  <si>
    <t>DVKVSLYKNDKALLFTHDQFQ</t>
  </si>
  <si>
    <t>COEA1_HUMAN_1064</t>
  </si>
  <si>
    <t>FLYSTVGALNKIGTDGTQVAM</t>
  </si>
  <si>
    <t>LTBP1_HUMAN_167</t>
  </si>
  <si>
    <t>VHQKQQLQGVNVCGGRCCHGW</t>
  </si>
  <si>
    <t>BRK1_PHYSA_50</t>
  </si>
  <si>
    <t>EESEEKKREAPERPPGFTPFR</t>
  </si>
  <si>
    <t>LANP_STAEP_16</t>
  </si>
  <si>
    <t>NLFDLEIKKETSQNTDELEPQ</t>
  </si>
  <si>
    <t>PROS_BOVIN_548</t>
  </si>
  <si>
    <t>LVDSATEKLQDILVSVESMVI</t>
  </si>
  <si>
    <t>CO1A1_BOVIN_1370</t>
  </si>
  <si>
    <t>EASQNITYHCKNSVAYMDQQT</t>
  </si>
  <si>
    <t>FA7_HUMAN_302</t>
  </si>
  <si>
    <t>STYVPGTTNHDIALLRLHQPV</t>
  </si>
  <si>
    <t>AGO2_HUMAN_92</t>
  </si>
  <si>
    <t>FKTQIFGDRKPVFDGRKNLYT</t>
  </si>
  <si>
    <t>CO2A1_BOVIN_1235</t>
  </si>
  <si>
    <t>GLGQREKGPDPLQYMRADEAA</t>
  </si>
  <si>
    <t>CONG_BOVIN_285</t>
  </si>
  <si>
    <t>CREAKGQLASPRSSAENEAVT</t>
  </si>
  <si>
    <t>HIF3A_HUMAN_449</t>
  </si>
  <si>
    <t>HPQSPLSADLPDELPVGTENV</t>
  </si>
  <si>
    <t>C1S_HUMAN_344</t>
  </si>
  <si>
    <t>ATSFYSTCQSNGKWSNSKLKC</t>
  </si>
  <si>
    <t>PROS_BOVIN_509</t>
  </si>
  <si>
    <t>NESNPEAWQINVSLNIRPSAG</t>
  </si>
  <si>
    <t>CO4A1_BOVIN_1530</t>
  </si>
  <si>
    <t>SYWLSTPEPMPMSMAPITGEN</t>
  </si>
  <si>
    <t>PROS_BOVIN_623</t>
  </si>
  <si>
    <t>TVVTYLGGLPDVPFSATPVNA</t>
  </si>
  <si>
    <t>NOTC1_MOUSE_871</t>
  </si>
  <si>
    <t>WQGQTCEVDINECVKSPCRHG</t>
  </si>
  <si>
    <t>COEA1_HUMAN_1093</t>
  </si>
  <si>
    <t>TEFKLNAYKTKETLLDAIKHI</t>
  </si>
  <si>
    <t>CO5A2_HUMAN_1359</t>
  </si>
  <si>
    <t>WWASKSPDNKPVWYGLDMNRG</t>
  </si>
  <si>
    <t>COEA1_HUMAN_851</t>
  </si>
  <si>
    <t>WYNRLRITWDPPSSPVKGYRI</t>
  </si>
  <si>
    <t>PAM_TAXWC_623</t>
  </si>
  <si>
    <t>NNDALVRIQGSKFLPFYRFVR</t>
  </si>
  <si>
    <t>ENAM_PIG_1112</t>
  </si>
  <si>
    <t>GAQFQNINVDPLNEDEHTPFD</t>
  </si>
  <si>
    <t>CE192_HUMAN_2268</t>
  </si>
  <si>
    <t>SHLVKPMTKPPSTKVEIRNKS</t>
  </si>
  <si>
    <t>CO5A1_HUMAN_39</t>
  </si>
  <si>
    <t>WAPPPSRAAQPADLLKVLDFH</t>
  </si>
  <si>
    <t>COEA1_HUMAN_389</t>
  </si>
  <si>
    <t>NVEKYRVVYYPTRGGKPDEVV</t>
  </si>
  <si>
    <t>LANN_STRMG_29</t>
  </si>
  <si>
    <t>EDLFAFDTTDTTIVASNDDPD</t>
  </si>
  <si>
    <t>NOTC1_HUMAN_459</t>
  </si>
  <si>
    <t>CEIDVNECVSNPCQNDATCLD</t>
  </si>
  <si>
    <t>SKP1A_DICDI_40</t>
  </si>
  <si>
    <t>MIEDIGESDSPIPLPNVTSTI</t>
  </si>
  <si>
    <t>HIF1A_HUMAN_658</t>
  </si>
  <si>
    <t>HKETTSATSSPYRDTQSRTAS</t>
  </si>
  <si>
    <t>HIF1A_HUMAN_432</t>
  </si>
  <si>
    <t>DQQLEEVPLYNDVMLPSPNEK</t>
  </si>
  <si>
    <t>CO6A3_HUMAN_1426</t>
  </si>
  <si>
    <t>IQKLLASTRYPPPAVESDAAD</t>
  </si>
  <si>
    <t>ENAM_PIG_40</t>
  </si>
  <si>
    <t>LGLLCYSAAMPMQMPRMPGFS</t>
  </si>
  <si>
    <t>CO1A1_MOUSE_160</t>
  </si>
  <si>
    <t>ASQMSYGYDEKSAGVSVPGPM</t>
  </si>
  <si>
    <t>AGP31_ARATH_50</t>
  </si>
  <si>
    <t>PAPYHHGHHHPHPPHHHHPHP</t>
  </si>
  <si>
    <t>ANK1_HUMAN_1441</t>
  </si>
  <si>
    <t>DINRIRVENPNSLLEQSVALL</t>
  </si>
  <si>
    <t>TDIF_ZINVI_77</t>
  </si>
  <si>
    <t>MEVTSLPTHQPTSSNSHDESS</t>
  </si>
  <si>
    <t>CO1A1_BOVIN_1385</t>
  </si>
  <si>
    <t>YMDQQTGNLKKALLLQGSNEI</t>
  </si>
  <si>
    <t>CE192_HUMAN_57</t>
  </si>
  <si>
    <t>RDRSSTDNRYPDIQASYLVEG</t>
  </si>
  <si>
    <t>COEA1_HUMAN_855</t>
  </si>
  <si>
    <t>LRITWDPPSSPVKGYRIVYKP</t>
  </si>
  <si>
    <t>FA9_HUMAN_315</t>
  </si>
  <si>
    <t>YNAAINKYNHDIALLELDEPL</t>
  </si>
  <si>
    <t>NOTC1_HUMAN_1289</t>
  </si>
  <si>
    <t>RGTQNCVQRVNDFHCECRAGH</t>
  </si>
  <si>
    <t>KPYM_HUMAN_449</t>
  </si>
  <si>
    <t>HQVARYRPRAPIIAVTRNPQT</t>
  </si>
  <si>
    <t>AGO2_HUMAN_326</t>
  </si>
  <si>
    <t>HKLVLRYPHLPCLQVGQEQKH</t>
  </si>
  <si>
    <t>CO7A1_HUMAN_745</t>
  </si>
  <si>
    <t>ATVAELDGLEPDTEYTVHVRA</t>
  </si>
  <si>
    <t>FA7_HUMAN_277</t>
  </si>
  <si>
    <t>VLGEHDLSEHDGDEQSRRVAQ</t>
  </si>
  <si>
    <t>C1S_HUMAN_89</t>
  </si>
  <si>
    <t>EGRLCGQRSSNNPHSPIVEEF</t>
  </si>
  <si>
    <t>HIF3A_HUMAN_229</t>
  </si>
  <si>
    <t>LVLICEAIPHPGSLEPPLGRG</t>
  </si>
  <si>
    <t>ANK1_MOUSE_324</t>
  </si>
  <si>
    <t>LDCVRLLLQYNAEIDDITLDH</t>
  </si>
  <si>
    <t>U2AF2_HUMAN_85</t>
  </si>
  <si>
    <t>GLIRSPRHEKKKKVRKYWDVP</t>
  </si>
  <si>
    <t>PERC_AEDAE_645</t>
  </si>
  <si>
    <t>RDFAVRPYNDYREWAGLGRIT</t>
  </si>
  <si>
    <t>CO6A3_HUMAN_2763</t>
  </si>
  <si>
    <t>EEAQRVILQAKCKGYFFVVLG</t>
  </si>
  <si>
    <t>CO1A2_BOVIN_1190</t>
  </si>
  <si>
    <t>PNQGCTMDAIKVYCDFSTGET</t>
  </si>
  <si>
    <t>LANA_STRMG_22</t>
  </si>
  <si>
    <t>LNEVSDSELDTILGGNRWWQG</t>
  </si>
  <si>
    <t>CO6A3_HUMAN_2388</t>
  </si>
  <si>
    <t>ALIQSIKDKCPCCYGPLECPV</t>
  </si>
  <si>
    <t>CO5A1_HUMAN_314</t>
  </si>
  <si>
    <t>TEVPEELTPTPTEAAPMPETS</t>
  </si>
  <si>
    <t>PAL1_PETCR_67</t>
  </si>
  <si>
    <t>VKLGGETLTISQVAAISARDG</t>
  </si>
  <si>
    <t>NOTC1_HUMAN_791</t>
  </si>
  <si>
    <t>EGFSGPNCQTNINECASNPCL</t>
  </si>
  <si>
    <t>CO5A1_HUMAN_1635</t>
  </si>
  <si>
    <t>MKRPLGTQQNPARTCKDLQLC</t>
  </si>
  <si>
    <t>LC7L2_HUMAN_245</t>
  </si>
  <si>
    <t>KQEKRNQERLKRREEREREER</t>
  </si>
  <si>
    <t>C1S_HUMAN_349</t>
  </si>
  <si>
    <t>STCQSNGKWSNSKLKCQPVDC</t>
  </si>
  <si>
    <t>ANK1_HUMAN_1791</t>
  </si>
  <si>
    <t>GQEEQVQEAKNTFTQVVQGNE</t>
  </si>
  <si>
    <t>TALY_RHOS4_92</t>
  </si>
  <si>
    <t>LQANLVHHLASGVGPVLDWTT</t>
  </si>
  <si>
    <t>CO5A2_HUMAN_1479</t>
  </si>
  <si>
    <t>VARLPIIDLAPVDVGGTDQEF</t>
  </si>
  <si>
    <t>CO7A1_HUMAN_1246</t>
  </si>
  <si>
    <t>ASFTTQPRPEPCPVYCPKGQK</t>
  </si>
  <si>
    <t>NOTC1_HUMAN_798</t>
  </si>
  <si>
    <t>CQTNINECASNPCLNQGTCID</t>
  </si>
  <si>
    <t>CO6A3_HUMAN_357</t>
  </si>
  <si>
    <t>PQVLVLISAGPSSDEIRYGVV</t>
  </si>
  <si>
    <t>AGO2_HUMAN_743</t>
  </si>
  <si>
    <t>GTTVDTKITHPTEFDFYLCSH</t>
  </si>
  <si>
    <t>CHI1_TOBAC_244</t>
  </si>
  <si>
    <t>WFWMTPQSPKPSCHDVIIGRW</t>
  </si>
  <si>
    <t>CO2A1_BOVIN_1279</t>
  </si>
  <si>
    <t>LRSPEGSRKNPARTCRDLKLC</t>
  </si>
  <si>
    <t>CO1A1_BOVIN_57</t>
  </si>
  <si>
    <t>YHDRDVWKPVPCQICVCDNGN</t>
  </si>
  <si>
    <t>ENAM_PIG_96</t>
  </si>
  <si>
    <t>FFPQYQMPMWPQPPPNKKHPQ</t>
  </si>
  <si>
    <t>CO7A1_HUMAN_1046</t>
  </si>
  <si>
    <t>RGPEASVTQTPVCPRGLADVV</t>
  </si>
  <si>
    <t>PROS_BOVIN_579</t>
  </si>
  <si>
    <t>DQQTFLEIRVNRNNLELSTQL</t>
  </si>
  <si>
    <t>NOTC1_HUMAN_2396</t>
  </si>
  <si>
    <t>QPQNLQMQQQNLQPANIQQQQ</t>
  </si>
  <si>
    <t>PAL1_PETCR_270</t>
  </si>
  <si>
    <t>NGTAVGSGMASMVLFEANILA</t>
  </si>
  <si>
    <t>HIF3A_HUMAN_607</t>
  </si>
  <si>
    <t>SPEHENFLLFPLSLSFLLTGG</t>
  </si>
  <si>
    <t>ENAM_PIG_925</t>
  </si>
  <si>
    <t>RQTVSPTSIVPGQRNSSEKIL</t>
  </si>
  <si>
    <t>PAM_TAXWC_310</t>
  </si>
  <si>
    <t>PFQELSREYYSIDKLKKPKQD</t>
  </si>
  <si>
    <t>C1QA_HUMAN_156</t>
  </si>
  <si>
    <t>NHSGRFVCTVPGYYYFTFQVL</t>
  </si>
  <si>
    <t>COEA1_HUMAN_1296</t>
  </si>
  <si>
    <t>YTISFLFRILPDTPQEPFALW</t>
  </si>
  <si>
    <t>CE192_HUMAN_731</t>
  </si>
  <si>
    <t>AIAEASVNTDPSQLAAMIKAL</t>
  </si>
  <si>
    <t>PROC_BOVIN_205</t>
  </si>
  <si>
    <t>KRDTNQVDQKDQLDPRIVDGQ</t>
  </si>
  <si>
    <t>CO6A3_HUMAN_909</t>
  </si>
  <si>
    <t>ILNLVKRMKIKTGKALNLGYA</t>
  </si>
  <si>
    <t>EPAS1_MOUSE_89</t>
  </si>
  <si>
    <t>SEAEADQQMDNLYLKALEGFI</t>
  </si>
  <si>
    <t>CO7A1_HUMAN_1952</t>
  </si>
  <si>
    <t>VDRLLETAGIKASALREIVET</t>
  </si>
  <si>
    <t>COEA1_HUMAN_91</t>
  </si>
  <si>
    <t>ATKAIIQGLMPDQNYTVQIIA</t>
  </si>
  <si>
    <t>CO7A1_HUMAN_113</t>
  </si>
  <si>
    <t>VIRAIRELSYKGGNTRTGAAI</t>
  </si>
  <si>
    <t>CO5A1_HUMAN_1797</t>
  </si>
  <si>
    <t>DGCATKKGYQKTVLEIDTPKV</t>
  </si>
  <si>
    <t>PROS_BOVIN_235</t>
  </si>
  <si>
    <t>ECECAEGYKYNPVSKSCDDVD</t>
  </si>
  <si>
    <t>HIF1_CAEEL_521</t>
  </si>
  <si>
    <t>EGISQCGLNSPPSIKSGQVVY</t>
  </si>
  <si>
    <t>ARRB2_HUMAN_363</t>
  </si>
  <si>
    <t>IPLPRPQSAAPETDVPVDTNL</t>
  </si>
  <si>
    <t>CO1A1_BOVIN_1317</t>
  </si>
  <si>
    <t>AQKNWYISKNPKEKRHVWYGE</t>
  </si>
  <si>
    <t>ENAM_PIG_568</t>
  </si>
  <si>
    <t>RNTWNQQEISPPFKEDPGRQE</t>
  </si>
  <si>
    <t>ADIPO_HUMAN_169</t>
  </si>
  <si>
    <t>YFAYHITVYMKDVKVSLFKKD</t>
  </si>
  <si>
    <t>CE192_HUMAN_1572</t>
  </si>
  <si>
    <t>CADVVTRLAGPSVVNHMMPAS</t>
  </si>
  <si>
    <t>CO7A1_HUMAN_2931</t>
  </si>
  <si>
    <t>TREACERRCPPRVVQSQGTGT</t>
  </si>
  <si>
    <t>CO1A1_MOUSE_1427</t>
  </si>
  <si>
    <t>EYKTTKTSRLPIIDVAPLDIG</t>
  </si>
  <si>
    <t>PAL_NOSP7_187</t>
  </si>
  <si>
    <t>ITGALIGLDPSFTVDFDGKEM</t>
  </si>
  <si>
    <t>HUTH_PSEPU_65</t>
  </si>
  <si>
    <t>GINTGFGLLASTRIASHDLEN</t>
  </si>
  <si>
    <t>KPYM_HUMAN_338</t>
  </si>
  <si>
    <t>TQMLESMIKKPRPTRAEGSDV</t>
  </si>
  <si>
    <t>FA9_HUMAN_378</t>
  </si>
  <si>
    <t>VLQYLRVPLVDRATCLRSTKF</t>
  </si>
  <si>
    <t>NOTC1_MOUSE_976</t>
  </si>
  <si>
    <t>SYTCTCPVGFNGIHCENNTPD</t>
  </si>
  <si>
    <t>NFKB1_HUMAN_662</t>
  </si>
  <si>
    <t>LNAIHLAMMSNSLPCLLLLVA</t>
  </si>
  <si>
    <t>HIF1A_HUMAN_445</t>
  </si>
  <si>
    <t>MLPSPNEKLQNINLAMSPLPT</t>
  </si>
  <si>
    <t>MRSA_BACSY_19</t>
  </si>
  <si>
    <t>SWKDPFSRENSTQNPAGNPFS</t>
  </si>
  <si>
    <t>TELO2_HUMAN_653</t>
  </si>
  <si>
    <t>PCLPEAAVSQPGSAVASDWRV</t>
  </si>
  <si>
    <t>CO6A3_HUMAN_551</t>
  </si>
  <si>
    <t>AGYRAAEGIPKLLVLITGGKS</t>
  </si>
  <si>
    <t>CO6A3_HUMAN_1189</t>
  </si>
  <si>
    <t>SFIPDFAVAIPTFRQLGTVQQ</t>
  </si>
  <si>
    <t>PROS_BOVIN_157</t>
  </si>
  <si>
    <t>SGWQGEKCESDINECKDPVNI</t>
  </si>
  <si>
    <t>NOTC1_MOUSE_1327</t>
  </si>
  <si>
    <t>KNGGVCAVASNTARGFICRCP</t>
  </si>
  <si>
    <t>ARRB2_HUMAN_265</t>
  </si>
  <si>
    <t>AQLEQDDQVSPSSTFCKVYTI</t>
  </si>
  <si>
    <t>HIF1_CAEEL_656</t>
  </si>
  <si>
    <t>PDFTPAVPQAPAARPVHIDRS</t>
  </si>
  <si>
    <t>CINA_STRGV_41</t>
  </si>
  <si>
    <t>AALPTPVEAQDQASLDFWTKD</t>
  </si>
  <si>
    <t>PROC_BOVIN_298</t>
  </si>
  <si>
    <t>PNYTKSTSDNDIALLRLAKPA</t>
  </si>
  <si>
    <t>CO5A2_HUMAN_1249</t>
  </si>
  <si>
    <t>HYDESMPDPLPEFTEDQAAPD</t>
  </si>
  <si>
    <t>SFTPD_RAT_249</t>
  </si>
  <si>
    <t>RLEAAFSRYKKAALFPDGQSV</t>
  </si>
  <si>
    <t>PROS_BOVIN_478</t>
  </si>
  <si>
    <t>QEKQNKHCLVNVEKGSYYPGT</t>
  </si>
  <si>
    <t>AGP31_ARATH_327</t>
  </si>
  <si>
    <t>FGGDVGAELKPEKKLGKSTVV</t>
  </si>
  <si>
    <t>PROS_BOVIN_598</t>
  </si>
  <si>
    <t>QLRKDSFHSEDFQRQFAILDE</t>
  </si>
  <si>
    <t>PALY_RHOTO_108</t>
  </si>
  <si>
    <t>VEFLRSQLSMSVYGVTTGFGG</t>
  </si>
  <si>
    <t>CO6A3_HUMAN_166</t>
  </si>
  <si>
    <t>DGLALPSAELKSADVNVFAIG</t>
  </si>
  <si>
    <t>HIF1_CAEEL_386</t>
  </si>
  <si>
    <t>PEIVECVDFTPLIEPEDPFDT</t>
  </si>
  <si>
    <t>AGO2_HUMAN_191</t>
  </si>
  <si>
    <t>FFTASEGCSNPLGGGREVWFG</t>
  </si>
  <si>
    <t>CO6A3_HUMAN_2397</t>
  </si>
  <si>
    <t>CPCCYGPLECPVFPTELAFAL</t>
  </si>
  <si>
    <t>HIF1A_HUMAN_702</t>
  </si>
  <si>
    <t>SVALSQRTTVPEEELNPKILA</t>
  </si>
  <si>
    <t>AGO2_HUMAN_415</t>
  </si>
  <si>
    <t>MTDVTGRVLQPPSILYGGRNK</t>
  </si>
  <si>
    <t>CO7A1_HUMAN_463</t>
  </si>
  <si>
    <t>GLEPPQKVVLPSDVTRYQLDG</t>
  </si>
  <si>
    <t>PROC_HUMAN_200</t>
  </si>
  <si>
    <t>MEKKRSHLKRDTEDQEDQVDP</t>
  </si>
  <si>
    <t>AGO2_HUMAN_622</t>
  </si>
  <si>
    <t>AAVVGSMDAHPNRYCATVRVQ</t>
  </si>
  <si>
    <t>CO6A3_HUMAN_1281</t>
  </si>
  <si>
    <t>VAVIQFSDDPKVEFLLNAHSS</t>
  </si>
  <si>
    <t>CO1A2_BOVIN_1138</t>
  </si>
  <si>
    <t>PKDYEVDATLKSLNNQIETLL</t>
  </si>
  <si>
    <t>CO6A3_HUMAN_3006</t>
  </si>
  <si>
    <t>QVFEITENSAKLHWERAEPPG</t>
  </si>
  <si>
    <t>CO7A1_HUMAN_944</t>
  </si>
  <si>
    <t>LSVLGPAGEGPSAEVTARTES</t>
  </si>
  <si>
    <t>ENAM_PIG_387</t>
  </si>
  <si>
    <t>VYGSTARSNPPNYAGNSANLR</t>
  </si>
  <si>
    <t>CO6A3_HUMAN_2990</t>
  </si>
  <si>
    <t>TKPATTKPMVKMSREVQVFEI</t>
  </si>
  <si>
    <t>CE192_HUMAN_172</t>
  </si>
  <si>
    <t>HLQSWMNNKEPKIVVLDAGKH</t>
  </si>
  <si>
    <t>ENAM_PIG_145</t>
  </si>
  <si>
    <t>TPKQPLNEPSPTPTQPEEETQ</t>
  </si>
  <si>
    <t>PALY_RHOTO_618</t>
  </si>
  <si>
    <t>VVEVLSSTSLSLAAVNAWKVA</t>
  </si>
  <si>
    <t>PALY_RHOTO_87</t>
  </si>
  <si>
    <t>RKGRPVRVKDSDEIRSKIDKS</t>
  </si>
  <si>
    <t>CO6A3_HUMAN_853</t>
  </si>
  <si>
    <t>DGSANLVGQFPVVRDFLYKII</t>
  </si>
  <si>
    <t>LC7L2_HUMAN_29</t>
  </si>
  <si>
    <t>RDGDTTRQRIKFSDDRVCKSH</t>
  </si>
  <si>
    <t>CO2A1_BOVIN_78</t>
  </si>
  <si>
    <t>ICEDMKDCLSPETPFGECCPI</t>
  </si>
  <si>
    <t>UMEC_ARMRU_69</t>
  </si>
  <si>
    <t>KENPISHMTTPPVKIMLNTTG</t>
  </si>
  <si>
    <t>CO6A3_HUMAN_2846</t>
  </si>
  <si>
    <t>CDWFQGDQPTKNLVKFGHKQV</t>
  </si>
  <si>
    <t>KPYM_HUMAN_471</t>
  </si>
  <si>
    <t>RQAHLYRGIFPVLCKDPVQEA</t>
  </si>
  <si>
    <t>KPYM_HUMAN_477</t>
  </si>
  <si>
    <t>RGIFPVLCKDPVQEAWAEDVD</t>
  </si>
  <si>
    <t>NFKB1_HUMAN_789</t>
  </si>
  <si>
    <t>ATSWQVFDILNGKPYEPEFTS</t>
  </si>
  <si>
    <t>FA9_BOVIN_213</t>
  </si>
  <si>
    <t>ENSSEAEIIWDNVTQSNQSFD</t>
  </si>
  <si>
    <t>NOTC1_MOUSE_463</t>
  </si>
  <si>
    <t>VNECISNPCQNDATCLDQIGE</t>
  </si>
  <si>
    <t>FIBA_HUMAN_472</t>
  </si>
  <si>
    <t>SKTVTKTVIGPDGHKEVTKEV</t>
  </si>
  <si>
    <t>EPAS1_MOUSE_184</t>
  </si>
  <si>
    <t>CTVTNRGRTVNLKSATWKVLH</t>
  </si>
  <si>
    <t>ANK1_MOUSE_1194</t>
  </si>
  <si>
    <t>ITGTTKLIYANECANFTTNVS</t>
  </si>
  <si>
    <t>CO1A1_HUMAN_1208</t>
  </si>
  <si>
    <t>FSFLPQPPQEKAHDGGRYYRA</t>
  </si>
  <si>
    <t>PROC_HUMAN_322</t>
  </si>
  <si>
    <t>SQTIVPICLPDSGLAERELNQ</t>
  </si>
  <si>
    <t>ENAM_PIG_403</t>
  </si>
  <si>
    <t>SANLRRKPEGPNKNPMVTNVA</t>
  </si>
  <si>
    <t>FA10_HUMAN_418</t>
  </si>
  <si>
    <t>DTKQEDACQGDSGGPHVTRFK</t>
  </si>
  <si>
    <t>COEA1_HUMAN_685</t>
  </si>
  <si>
    <t>QDSHVIEGLEPGTEYEVSLLA</t>
  </si>
  <si>
    <t>CO1A1_BOVIN_1203</t>
  </si>
  <si>
    <t>GGYDLSFLPQPPQEKAHDGGR</t>
  </si>
  <si>
    <t>CO6A3_HUMAN_930</t>
  </si>
  <si>
    <t>LDYAQRYIFVKSAGSRIEDGV</t>
  </si>
  <si>
    <t>NOTC1_HUMAN_2053</t>
  </si>
  <si>
    <t>AAVVLLKNGANKDMQNNREET</t>
  </si>
  <si>
    <t>C1S_HUMAN_395</t>
  </si>
  <si>
    <t>TCEEPYYYMENGGGGEYHCAG</t>
  </si>
  <si>
    <t>ENAM_PIG_877</t>
  </si>
  <si>
    <t>GPCCAGGSMWPKNNPLALQDY</t>
  </si>
  <si>
    <t>SFTPD_RAT_290</t>
  </si>
  <si>
    <t>CRQAGGQLASPRSATENAAVQ</t>
  </si>
  <si>
    <t>COW_CONRA_40</t>
  </si>
  <si>
    <t>DRNAVPRDDNPGGASGKFMNV</t>
  </si>
  <si>
    <t>CO1A2_BOVIN_1150</t>
  </si>
  <si>
    <t>LNNQIETLLTPEGSRKNPART</t>
  </si>
  <si>
    <t>FA10_HUMAN_386</t>
  </si>
  <si>
    <t>RLKMLEVPYVDRNSCKLSSSF</t>
  </si>
  <si>
    <t>CO7A1_HUMAN_891</t>
  </si>
  <si>
    <t>HSLRLRWEPVPRAQGFLLHWQ</t>
  </si>
  <si>
    <t>CM3A_CONGE_27</t>
  </si>
  <si>
    <t>LTALPMDGDEPANRPVERMQD</t>
  </si>
  <si>
    <t>CT1A_CONMR_18</t>
  </si>
  <si>
    <t>IILLLLTASAPGVVVLPKTED</t>
  </si>
  <si>
    <t>COEA1_HUMAN_871</t>
  </si>
  <si>
    <t>IVYKPVSVPGPTLETFVGADI</t>
  </si>
  <si>
    <t>CO7A1_HUMAN_902</t>
  </si>
  <si>
    <t>RAQGFLLHWQPEGGQEQSRVL</t>
  </si>
  <si>
    <t>CE192_HUMAN_2372</t>
  </si>
  <si>
    <t>YAQFWDVECHPLKEPHMKHTL</t>
  </si>
  <si>
    <t>PROC_BOVIN_321</t>
  </si>
  <si>
    <t>SQTIVPICLPDSGLSERKLTQ</t>
  </si>
  <si>
    <t>COEA1_HUMAN_395</t>
  </si>
  <si>
    <t>VVYYPTRGGKPDEVVVDGTVS</t>
  </si>
  <si>
    <t>ENAM_PIG_696</t>
  </si>
  <si>
    <t>YTSNQPKEYLPYSLDNPSKPR</t>
  </si>
  <si>
    <t>PROS_BOVIN_651</t>
  </si>
  <si>
    <t>VNINGVQVDLDEAISKHNDIR</t>
  </si>
  <si>
    <t>LC7L2_HUMAN_367</t>
  </si>
  <si>
    <t>RSPRDRDRKDKKRSYESANGR</t>
  </si>
  <si>
    <t>HUTH_PSEPU_79</t>
  </si>
  <si>
    <t>ASHDLENLQRSLVLSHAAGIG</t>
  </si>
  <si>
    <t>FA9_BOVIN_131</t>
  </si>
  <si>
    <t>AGFEGTNCELDATCSIKNGRC</t>
  </si>
  <si>
    <t>PALY_RHOTO_656</t>
  </si>
  <si>
    <t>SAASTSSPALSYLSPRTQILY</t>
  </si>
  <si>
    <t>ENAM_PIG_233</t>
  </si>
  <si>
    <t>DFEKPKEKDPPKTETPATEPS</t>
  </si>
  <si>
    <t>EFP_ECOLI_105</t>
  </si>
  <si>
    <t>ADAKAIGDNAKWLLDQAECIV</t>
  </si>
  <si>
    <t>LC7L2_HUMAN_332</t>
  </si>
  <si>
    <t>SSRDRSRERSKRRSSKERFRD</t>
  </si>
  <si>
    <t>CO5A1_HUMAN_283</t>
  </si>
  <si>
    <t>YYYEYPYYEDPEDLGKEPTPS</t>
  </si>
  <si>
    <t>ANK1_MOUSE_1435</t>
  </si>
  <si>
    <t>VEDINRIRVENPNSLLDQSTA</t>
  </si>
  <si>
    <t>CO7A1_HUMAN_1242</t>
  </si>
  <si>
    <t>ALCQASFTTQPRPEPCPVYCP</t>
  </si>
  <si>
    <t>PAL1_PETCR_512</t>
  </si>
  <si>
    <t>SEAVEILKLMSTTFLVGLCQA</t>
  </si>
  <si>
    <t>PROS_BOVIN_592</t>
  </si>
  <si>
    <t>NLELSTQLRKDSFHSEDFQRQ</t>
  </si>
  <si>
    <t>TELO2_HUMAN_401</t>
  </si>
  <si>
    <t>VKCRLDSSLPPVRRLGMIVAE</t>
  </si>
  <si>
    <t>CO5A1_HUMAN_184</t>
  </si>
  <si>
    <t>KKNVTLILDCKKKTTKFLDRS</t>
  </si>
  <si>
    <t>PROS_BOVIN_569</t>
  </si>
  <si>
    <t>GRIEAISLCSDQQTFLEIRVN</t>
  </si>
  <si>
    <t>HUTH_PSEPU_459</t>
  </si>
  <si>
    <t>GLDLRKGLKTSAKLEKARQAL</t>
  </si>
  <si>
    <t>C1R_HUMAN_622</t>
  </si>
  <si>
    <t>LPVANPQACENWLRGKNRMDV</t>
  </si>
  <si>
    <t>ENAM_PIG_400</t>
  </si>
  <si>
    <t>AGNSANLRRKPEGPNKNPMVT</t>
  </si>
  <si>
    <t>AMBN_PIG_228</t>
  </si>
  <si>
    <t>MSYGANQLNSPARLGILSSEE</t>
  </si>
  <si>
    <t>C1QA_HUMAN_219</t>
  </si>
  <si>
    <t>LQQGDQVWVEKDPKKGHIYQG</t>
  </si>
  <si>
    <t>HIF3A_HUMAN_515</t>
  </si>
  <si>
    <t>SEQLPRAYHRPLGAVPRPRAR</t>
  </si>
  <si>
    <t>AMBN_PIG_409</t>
  </si>
  <si>
    <t>TSMPGNKAQQPQIKRDAWRFQ</t>
  </si>
  <si>
    <t>FA10_HUMAN_322</t>
  </si>
  <si>
    <t>NRFTKETYDFDIAVLRLKTPI</t>
  </si>
  <si>
    <t>NOTC1_MOUSE_2238</t>
  </si>
  <si>
    <t>PDTHLGISHLNVAAKPEMAAL</t>
  </si>
  <si>
    <t>ADIPO_HUMAN_126</t>
  </si>
  <si>
    <t>SVGLETYVTIPNMPIRFTKIF</t>
  </si>
  <si>
    <t>ADIPO_BOVIN_172</t>
  </si>
  <si>
    <t>YLKDVKVSLYKNDKALLFTHD</t>
  </si>
  <si>
    <t>PALY_RHOTO_58</t>
  </si>
  <si>
    <t>VEKMLAAPTDSTLELDGYSLN</t>
  </si>
  <si>
    <t>CE192_HUMAN_2142</t>
  </si>
  <si>
    <t>VLPEHLILVAPSPCDMAKTGR</t>
  </si>
  <si>
    <t>CO1A1_CHICK_1311</t>
  </si>
  <si>
    <t>WYLSKNPKEKKHVWFGETMSD</t>
  </si>
  <si>
    <t>HIF1A_HUMAN_439</t>
  </si>
  <si>
    <t>PLYNDVMLPSPNEKLQNINLA</t>
  </si>
  <si>
    <t>HUTH_PSEPU_70</t>
  </si>
  <si>
    <t>FGLLASTRIASHDLENLQRSL</t>
  </si>
  <si>
    <t>KNG1_HUMAN_580</t>
  </si>
  <si>
    <t>ATMMPPISPAPIQSDDDWIPD</t>
  </si>
  <si>
    <t>PROS_BOVIN_119</t>
  </si>
  <si>
    <t>DLRSCVNAISDQCNPLPCNED</t>
  </si>
  <si>
    <t>CO1A1_CHICK_43</t>
  </si>
  <si>
    <t>CVQDGLTYNDKDVWKPEPCQI</t>
  </si>
  <si>
    <t>CO1A1_MOUSE_1305</t>
  </si>
  <si>
    <t>SVPQKNWYISPNPKEKKHVWF</t>
  </si>
  <si>
    <t>HIF1A_HUMAN_447</t>
  </si>
  <si>
    <t>PSPNEKLQNINLAMSPLPTAE</t>
  </si>
  <si>
    <t>CM3C_CONTE_27</t>
  </si>
  <si>
    <t>LNAVPLDGDQPADQPAERLLD</t>
  </si>
  <si>
    <t>PAL_NOSP7_505</t>
  </si>
  <si>
    <t>KGHYDARTCLSPNTVQLYTAV</t>
  </si>
  <si>
    <t>FA10_BOVIN_213</t>
  </si>
  <si>
    <t>ADLSPTESSLDLLGLNRTEPS</t>
  </si>
  <si>
    <t>COEA1_HUMAN_800</t>
  </si>
  <si>
    <t>QNNLLLKPLLPDTEYKVTVTP</t>
  </si>
  <si>
    <t>LTBP1_HUMAN_1317</t>
  </si>
  <si>
    <t>GSFLCVCADENQEYSPMTGQC</t>
  </si>
  <si>
    <t>KNG1_HUMAN_615</t>
  </si>
  <si>
    <t>DFPDTTSPKCPGRPWKSVSEI</t>
  </si>
  <si>
    <t>FA9_BOVIN_339</t>
  </si>
  <si>
    <t>NSYVTPICIADRDYTNIFLKF</t>
  </si>
  <si>
    <t>PROC_HUMAN_24</t>
  </si>
  <si>
    <t>WGISGTPAPLDSVFSSSERAH</t>
  </si>
  <si>
    <t>ANK1_MOUSE_1469</t>
  </si>
  <si>
    <t>KMENLYTALRNIDRSEIVNML</t>
  </si>
  <si>
    <t>CO6A3_HUMAN_2393</t>
  </si>
  <si>
    <t>IKDKCPCCYGPLECPVFPTEL</t>
  </si>
  <si>
    <t>CM3D_CONMR_45</t>
  </si>
  <si>
    <t>MQDDISSEHHPFFDPVKRCCR</t>
  </si>
  <si>
    <t>C1R_HUMAN_456</t>
  </si>
  <si>
    <t>RCLPVCGKPVNPVEQRQRIIG</t>
  </si>
  <si>
    <t>CONG_BOVIN_321</t>
  </si>
  <si>
    <t>DISTEGRFTYPTGEILVYSNW</t>
  </si>
  <si>
    <t>CO1A1_BOVIN_1304</t>
  </si>
  <si>
    <t>TGETCVYPTQPSVAQKNWYIS</t>
  </si>
  <si>
    <t>CO2A1_BOVIN_1334</t>
  </si>
  <si>
    <t>VYPNPASVPKKNWWSSKSKDK</t>
  </si>
  <si>
    <t>TNKS2_HUMAN_1025</t>
  </si>
  <si>
    <t>EVSEENHNHANERMLFHGSPF</t>
  </si>
  <si>
    <t>CO2A1_BOVIN_1342</t>
  </si>
  <si>
    <t>PKKNWWSSKSKDKKHIWFGET</t>
  </si>
  <si>
    <t>ASB4_MOUSE_28</t>
  </si>
  <si>
    <t>KKDFLEALKTNDFGKLKAILI</t>
  </si>
  <si>
    <t>PROC_HUMAN_171</t>
  </si>
  <si>
    <t>SCAPGYKLGDDLLQCHPAVKF</t>
  </si>
  <si>
    <t>MYPT1_HUMAN_611</t>
  </si>
  <si>
    <t>SSAGTQSSTSNRLWAEDSTEK</t>
  </si>
  <si>
    <t>PALY_RHOTO_614</t>
  </si>
  <si>
    <t>AAGTVVEVLSSTSLSLAAVNA</t>
  </si>
  <si>
    <t>EPAS1_MOUSE_387</t>
  </si>
  <si>
    <t>SDDVAVTEKSNYLFTKLKEEP</t>
  </si>
  <si>
    <t>CO1A1_CHICK_1291</t>
  </si>
  <si>
    <t>NMETGETCVYPTQATIAQKNW</t>
  </si>
  <si>
    <t>TDIF_ZINVI_40</t>
  </si>
  <si>
    <t>STSQISHFTNPRSCSSLFFVA</t>
  </si>
  <si>
    <t>CO7A1_HUMAN_151</t>
  </si>
  <si>
    <t>PKVCILITDGKSQDLVDTAAQ</t>
  </si>
  <si>
    <t>PAL1_PETCR_643</t>
  </si>
  <si>
    <t>EVESARAALESGNPAIPNRIE</t>
  </si>
  <si>
    <t>PALY_RHOTO_504</t>
  </si>
  <si>
    <t>PAEMANQAVNSLALISARRTT</t>
  </si>
  <si>
    <t>CO1A1_CHICK_1334</t>
  </si>
  <si>
    <t>QFEYGGEGSNPADVAIQLTFL</t>
  </si>
  <si>
    <t>PALY_RHOTO_567</t>
  </si>
  <si>
    <t>DQHFGSAMTGSNLRDELVEKV</t>
  </si>
  <si>
    <t>PROS_BOVIN_632</t>
  </si>
  <si>
    <t>PDVPFSATPVNAFYQGCMEVN</t>
  </si>
  <si>
    <t>PROZ_BOVIN_226</t>
  </si>
  <si>
    <t>DTGHNDVALLDLARPVRCPDA</t>
  </si>
  <si>
    <t>COEA1_HUMAN_557</t>
  </si>
  <si>
    <t>GSNSARLTWDPTSRQINGYRI</t>
  </si>
  <si>
    <t>COEA1_HUMAN_141</t>
  </si>
  <si>
    <t>KVVDRGNGSRPSSPEEVKFVC</t>
  </si>
  <si>
    <t>CO5A1_HUMAN_1700</t>
  </si>
  <si>
    <t>ARITSWPKENPGSWFSEFKRG</t>
  </si>
  <si>
    <t>CO6A3_HUMAN_503</t>
  </si>
  <si>
    <t>VRPEFYFNTHPTKREVITAVR</t>
  </si>
  <si>
    <t>CO2A1_BOVIN_51</t>
  </si>
  <si>
    <t>YNDKDVWKPEPCRICVCDTGT</t>
  </si>
  <si>
    <t>NOTC1_HUMAN_268</t>
  </si>
  <si>
    <t>IDDCPGNNCKNGGACVDGVNT</t>
  </si>
  <si>
    <t>BRKP1_AGACL_49</t>
  </si>
  <si>
    <t>DKESEEKRESPERPPGFTPFR</t>
  </si>
  <si>
    <t>CXY17_CONCB_16</t>
  </si>
  <si>
    <t>VLLLALLLLLPLSTAQDAEGS</t>
  </si>
  <si>
    <t>HIF3A_HUMAN_266</t>
  </si>
  <si>
    <t>DRIAEVAGYSPDDLIGCSAYE</t>
  </si>
  <si>
    <t>HIF1A_HUMAN_644</t>
  </si>
  <si>
    <t>DIKILIASPSPTHIHKETTSA</t>
  </si>
  <si>
    <t>FA7_HUMAN_369</t>
  </si>
  <si>
    <t>VLNVPRLMTQDCLQQSRKVGD</t>
  </si>
  <si>
    <t>FA10_HUMAN_132</t>
  </si>
  <si>
    <t>ELFTRKLCSLDNGDCDQFCHE</t>
  </si>
  <si>
    <t>PROC_BOVIN_213</t>
  </si>
  <si>
    <t>QKDQLDPRIVDGQEAGWGESP</t>
  </si>
  <si>
    <t>CO1A1_CHICK_1244</t>
  </si>
  <si>
    <t>IRSPEGTRKNPARTCRDLKMC</t>
  </si>
  <si>
    <t>RS23_HUMAN_86</t>
  </si>
  <si>
    <t>KNGKKITAFVPNDGCLNFIEE</t>
  </si>
  <si>
    <t>SFTPD_RAT_272</t>
  </si>
  <si>
    <t>KIFRAANSEEPFEDAKEMCRQ</t>
  </si>
  <si>
    <t>SKP1A_DICDI_42</t>
  </si>
  <si>
    <t>EDIGESDSPIPLPNVTSTILE</t>
  </si>
  <si>
    <t>ANK1_HUMAN_218</t>
  </si>
  <si>
    <t>TPLHIAAHYENLNVAQLLLNR</t>
  </si>
  <si>
    <t>CA4A_CONMA_23</t>
  </si>
  <si>
    <t>VVLATTVVSIPSDRASDGRNA</t>
  </si>
  <si>
    <t>CO6A3_HUMAN_271</t>
  </si>
  <si>
    <t>ILDFLVNLLEKLPIGTQQIRV</t>
  </si>
  <si>
    <t>CO1A1_MOUSE_39</t>
  </si>
  <si>
    <t>VSCIHNGLRVPNGETWKPEVC</t>
  </si>
  <si>
    <t>ANK1_HUMAN_1098</t>
  </si>
  <si>
    <t>VPLVQATFPENAVTKRVKLAL</t>
  </si>
  <si>
    <t>PERC_AEDAE_709</t>
  </si>
  <si>
    <t>VALLSAGYTRYKRADRYYFTN</t>
  </si>
  <si>
    <t>FA10_BOVIN_407</t>
  </si>
  <si>
    <t>ITPNMFCAGYDTQPEDACQGD</t>
  </si>
  <si>
    <t>UMEC_ARMRU_17</t>
  </si>
  <si>
    <t>GDMEWKRPSDPKFYITWATGK</t>
  </si>
  <si>
    <t>ENAM_PIG_531</t>
  </si>
  <si>
    <t>RIPYESETNQPELKHSAYQPV</t>
  </si>
  <si>
    <t>TALY_RHOS4_27</t>
  </si>
  <si>
    <t>IDLDQAHAVASGGARIVLAPP</t>
  </si>
  <si>
    <t>CO7A1_HUMAN_978</t>
  </si>
  <si>
    <t>SIDSVTLAWTPVSRASSYILS</t>
  </si>
  <si>
    <t>TELO2_HUMAN_646</t>
  </si>
  <si>
    <t>GSPSPNTPCLPEAAVSQPGSA</t>
  </si>
  <si>
    <t>PROS_BOVIN_105</t>
  </si>
  <si>
    <t>GLFTAARLSTNAYPDLRSCVN</t>
  </si>
  <si>
    <t>PROS_BOVIN_294</t>
  </si>
  <si>
    <t>AVPVCLPLDLDKNYELLYLAE</t>
  </si>
  <si>
    <t>CONG_BOVIN_266</t>
  </si>
  <si>
    <t>EKIFKTAGAVKSYSDAEQLCR</t>
  </si>
  <si>
    <t>PAL_ANAVT_357</t>
  </si>
  <si>
    <t>NPLIDVDNQASYHGGNFLGQY</t>
  </si>
  <si>
    <t>TNKS2_HUMAN_146</t>
  </si>
  <si>
    <t>KIDVCIVLLQHGAEPTIRNTD</t>
  </si>
  <si>
    <t>LANPA_PAEPO_17</t>
  </si>
  <si>
    <t>TIKVSKAVCKTLTCICTGSCS</t>
  </si>
  <si>
    <t>LANN_STRMG_26</t>
  </si>
  <si>
    <t>DVQEDLFAFDTTDTTIVASND</t>
  </si>
  <si>
    <t>FA9_HUMAN_150</t>
  </si>
  <si>
    <t>RCEQFCKNSADNKVVCSCTEG</t>
  </si>
  <si>
    <t>PAM_TAXWC_234</t>
  </si>
  <si>
    <t>KEGLALVNGTSFATAVASTVM</t>
  </si>
  <si>
    <t>CO6A3_HUMAN_1498</t>
  </si>
  <si>
    <t>FYLKTYRSQAPVLDAIRRLRL</t>
  </si>
  <si>
    <t>CE192_HUMAN_2282</t>
  </si>
  <si>
    <t>VEIRNKSITFPTTEPGETSES</t>
  </si>
  <si>
    <t>ENAM_PIG_809</t>
  </si>
  <si>
    <t>KENQPYSNNSPAGLQKNPTWH</t>
  </si>
  <si>
    <t>AMBN_PIG_138</t>
  </si>
  <si>
    <t>QPTVVTSIQNPVQKGVPQPPI</t>
  </si>
  <si>
    <t>TNKS2_HUMAN_1037</t>
  </si>
  <si>
    <t>RMLFHGSPFVNAIIHKGFDER</t>
  </si>
  <si>
    <t>C1R_HUMAN_260</t>
  </si>
  <si>
    <t>CPYDQLQIYANGKNIGEFCGK</t>
  </si>
  <si>
    <t>ADRB2_HUMAN_211</t>
  </si>
  <si>
    <t>IASSIVSFYVPLVIMVFVYSR</t>
  </si>
  <si>
    <t>ARRB2_HUMAN_349</t>
  </si>
  <si>
    <t>ELPFVLMHPKPHDHIPLPRPQ</t>
  </si>
  <si>
    <t>COEA1_HUMAN_1106</t>
  </si>
  <si>
    <t>LLDAIKHISYKGGNTKTGKAI</t>
  </si>
  <si>
    <t>C1QA_HUMAN_124</t>
  </si>
  <si>
    <t>RPAFSAIRRNPPMGGNVVIFD</t>
  </si>
  <si>
    <t>CO1A1_RAT_1375</t>
  </si>
  <si>
    <t>YMDQQTGNLKKSLLLQGSNEI</t>
  </si>
  <si>
    <t>PROC_HUMAN_90</t>
  </si>
  <si>
    <t>LAFWSKHVDGDQCLVLPLEHP</t>
  </si>
  <si>
    <t>C1S_HUMAN_260</t>
  </si>
  <si>
    <t>YCGHGFPGPLNIETKSNALDI</t>
  </si>
  <si>
    <t>ENAM_PIG_724</t>
  </si>
  <si>
    <t>FYPWNPEENFPSYNTAPTVSS</t>
  </si>
  <si>
    <t>MYPT1_HUMAN_186</t>
  </si>
  <si>
    <t>IMLRDARQWLNSGHINDVRHA</t>
  </si>
  <si>
    <t>PROS_BOVIN_245</t>
  </si>
  <si>
    <t>NPVSKSCDDVDECAENLCAQL</t>
  </si>
  <si>
    <t>CO6A3_HUMAN_1449</t>
  </si>
  <si>
    <t>FLIDSSEGVRPDGFAHIRDFV</t>
  </si>
  <si>
    <t>CO5A1_HUMAN_1780</t>
  </si>
  <si>
    <t>NDEEMSYDNNPYIRALVDGCA</t>
  </si>
  <si>
    <t>CO1A1_HUMAN_1321</t>
  </si>
  <si>
    <t>NWYISKNPKDKRHVWFGESMT</t>
  </si>
  <si>
    <t>IKKB_HUMAN_701</t>
  </si>
  <si>
    <t>PSTASNSLPEPAKKSEELVAE</t>
  </si>
  <si>
    <t>FA7_HUMAN_394</t>
  </si>
  <si>
    <t>TEYMFCAGYSDGSKDSCKGDS</t>
  </si>
  <si>
    <t>CM3A_CONGE_16</t>
  </si>
  <si>
    <t>VLLTICLLLFPLTALPMDGDE</t>
  </si>
  <si>
    <t>COEA1_HUMAN_1448</t>
  </si>
  <si>
    <t>LRDDESCPDLPHSCSCSETNE</t>
  </si>
  <si>
    <t>HIF1A_HUMAN_138</t>
  </si>
  <si>
    <t>TGHSVFDFTHPCDHEEMREML</t>
  </si>
  <si>
    <t>PAM_TAXWC_642</t>
  </si>
  <si>
    <t>VREELDTGVMSARREQTPQED</t>
  </si>
  <si>
    <t>SFTPD_RAT_23</t>
  </si>
  <si>
    <t>QPLGDLGAEMKTLSQRSITNT</t>
  </si>
  <si>
    <t>KNG1_HUMAN_627</t>
  </si>
  <si>
    <t>RPWKSVSEINPTTQMKESYYF</t>
  </si>
  <si>
    <t>COAA1_CHICK_578</t>
  </si>
  <si>
    <t>ILYNRQQHYDPRTGIFTCRIP</t>
  </si>
  <si>
    <t>C1R_HUMAN_636</t>
  </si>
  <si>
    <t>GKNRMDVFSQNMFCAGHPSLK</t>
  </si>
  <si>
    <t>COEA1_HUMAN_66</t>
  </si>
  <si>
    <t>KFGGYKLLVTPTSGGKTNQLN</t>
  </si>
  <si>
    <t>CM3_CONTE_16</t>
  </si>
  <si>
    <t>ALLIICLLLFPLTAVPMDGDQ</t>
  </si>
  <si>
    <t>ANK1_HUMAN_198</t>
  </si>
  <si>
    <t>TAAVLLQNDPNPDVLSKTGFT</t>
  </si>
  <si>
    <t>CE192_HUMAN_1051</t>
  </si>
  <si>
    <t>TYVSEPESSYPTTATDDALED</t>
  </si>
  <si>
    <t>PALY_RHOTO_649</t>
  </si>
  <si>
    <t>QVRETFWSAASTSSPALSYLS</t>
  </si>
  <si>
    <t>LTBP1_HUMAN_424</t>
  </si>
  <si>
    <t>SSRDKCQCPPNFTGKLCQIPV</t>
  </si>
  <si>
    <t>FCN3_HUMAN_112</t>
  </si>
  <si>
    <t>TLSGWYHLCLPEGRALPVFCD</t>
  </si>
  <si>
    <t>CO7A1_HUMAN_1088</t>
  </si>
  <si>
    <t>RLVLALGPLGPQAVQVGLLSY</t>
  </si>
  <si>
    <t>CO5A1_HUMAN_175</t>
  </si>
  <si>
    <t>WHRIALSVHKKNVTLILDCKK</t>
  </si>
  <si>
    <t>CO6A3_HUMAN_1398</t>
  </si>
  <si>
    <t>VFSVSTFRELPSLEQKLLTPI</t>
  </si>
  <si>
    <t>MICA_CLAMM_27</t>
  </si>
  <si>
    <t>WDMLLDAGEDTSPSVQTQIDA</t>
  </si>
  <si>
    <t>NOTC1_MOUSE_2040</t>
  </si>
  <si>
    <t>NVDAAVVLLKNGANKDMQNNK</t>
  </si>
  <si>
    <t>COEA1_HUMAN_660</t>
  </si>
  <si>
    <t>DEGLHKLMWIPVYGGKTEEVV</t>
  </si>
  <si>
    <t>PAL_ANAVT_286</t>
  </si>
  <si>
    <t>GQLWAADQMISLLANSQLVRD</t>
  </si>
  <si>
    <t>CO2A1_BOVIN_1435</t>
  </si>
  <si>
    <t>GNSRFTYTVLKDGCTKHTGKW</t>
  </si>
  <si>
    <t>COEA1_HUMAN_1081</t>
  </si>
  <si>
    <t>QVAMVQFTDDPRTEFKLNAYK</t>
  </si>
  <si>
    <t>CO6A3_HUMAN_2682</t>
  </si>
  <si>
    <t>SESVDNASMPPVKVEFSLTDY</t>
  </si>
  <si>
    <t>CO6A3_HUMAN_2472</t>
  </si>
  <si>
    <t>DSKRKSVLLDKIKNLQVALTS</t>
  </si>
  <si>
    <t>C1QB_HUMAN_11</t>
  </si>
  <si>
    <t>MMMKIPWGSIPVLMLLLLLGL</t>
  </si>
  <si>
    <t>COEA1_HUMAN_960</t>
  </si>
  <si>
    <t>VVIESLQDRQKQESTVGGGTT</t>
  </si>
  <si>
    <t>NOTC1_HUMAN_490</t>
  </si>
  <si>
    <t>PGYEGVHCEVNTDECASSPCL</t>
  </si>
  <si>
    <t>HIF1_CAEEL_690</t>
  </si>
  <si>
    <t>LDFMYTQHYQPFQQDETYWQG</t>
  </si>
  <si>
    <t>AGP31_ARATH_52</t>
  </si>
  <si>
    <t>PYHHGHHHPHPPHHHHPHPHP</t>
  </si>
  <si>
    <t>SFTPD_RAT_362</t>
  </si>
  <si>
    <t>EIFTNGQWNDKACGEQRLVIC</t>
  </si>
  <si>
    <t>ARRB2_HUMAN_46</t>
  </si>
  <si>
    <t>DPVDGVVLVDPDYLKDRKVFV</t>
  </si>
  <si>
    <t>PROC_HUMAN_77</t>
  </si>
  <si>
    <t>EEAKEIFQNVDDTLAFWSKHV</t>
  </si>
  <si>
    <t>CO1A1_BOVIN_1437</t>
  </si>
  <si>
    <t>EYKTTKTSRLPIIDVAPLDVG</t>
  </si>
  <si>
    <t>CO6A3_HUMAN_573</t>
  </si>
  <si>
    <t>DEISQPAQELKRSSIMAFAIG</t>
  </si>
  <si>
    <t>KNG1_HUMAN_148</t>
  </si>
  <si>
    <t>AQYDCLGCVHPISTQSPDLEP</t>
  </si>
  <si>
    <t>EPAS1_MOUSE_288</t>
  </si>
  <si>
    <t>YEFYHALDSENMTKSHQNLCT</t>
  </si>
  <si>
    <t>HIF1_CAEEL_390</t>
  </si>
  <si>
    <t>ECVDFTPLIEPEDPFDTVIEP</t>
  </si>
  <si>
    <t>MYPT1_HUMAN_540</t>
  </si>
  <si>
    <t>RRKWEDDLKKNSSVNEGSTYH</t>
  </si>
  <si>
    <t>CLE2_ARATH_47</t>
  </si>
  <si>
    <t>GLSPSIEATSPTVEDDQAAGS</t>
  </si>
  <si>
    <t>HIF1A_HUMAN_669</t>
  </si>
  <si>
    <t>YRDTQSRTASPNRAGKGVIEQ</t>
  </si>
  <si>
    <t>ENAM_PIG_88</t>
  </si>
  <si>
    <t>GNGMQLPQFFPQYQMPMWPQP</t>
  </si>
  <si>
    <t>HIF1A_HUMAN_152</t>
  </si>
  <si>
    <t>EEMREMLTHRNGLVKKGKEQN</t>
  </si>
  <si>
    <t>CE192_HUMAN_1600</t>
  </si>
  <si>
    <t>FLMIWVLFHSPKKQISSSDIL</t>
  </si>
  <si>
    <t>CO6A3_HUMAN_1355</t>
  </si>
  <si>
    <t>SGKSDDEVDDPAVELKQFGVA</t>
  </si>
  <si>
    <t>ENAM_PIG_639</t>
  </si>
  <si>
    <t>NPHYPMNTPDPKETIPYNEED</t>
  </si>
  <si>
    <t>ID</t>
  </si>
  <si>
    <t>Position</t>
  </si>
  <si>
    <t>Residue</t>
  </si>
  <si>
    <t>PTMscores</t>
  </si>
  <si>
    <t>Cutoff=0.5</t>
  </si>
  <si>
    <t>K</t>
  </si>
  <si>
    <t>Hydroxylysine:0.043</t>
  </si>
  <si>
    <t>None</t>
  </si>
  <si>
    <t>Hydroxylysine:0.076</t>
  </si>
  <si>
    <t>Hydroxylysine:0.11</t>
  </si>
  <si>
    <t>Hydroxylysine:0.051</t>
  </si>
  <si>
    <t>Hydroxylysine:0.052</t>
  </si>
  <si>
    <t>Hydroxylysine:0.053</t>
  </si>
  <si>
    <t>Hydroxylysine:0.227</t>
  </si>
  <si>
    <t>Hydroxylysine:0.097</t>
  </si>
  <si>
    <t>Hydroxylysine:0.644</t>
  </si>
  <si>
    <t>Hydroxylysine:0.05</t>
  </si>
  <si>
    <t>Hydroxylysine:0.116</t>
  </si>
  <si>
    <t>Hydroxylysine:0.036</t>
  </si>
  <si>
    <t>Hydroxylysine:0.033</t>
  </si>
  <si>
    <t>Hydroxylysine:0.041</t>
  </si>
  <si>
    <t>Hydroxylysine:0.114</t>
  </si>
  <si>
    <t>Hydroxylysine:0.038</t>
  </si>
  <si>
    <t>Hydroxylysine:0.067</t>
  </si>
  <si>
    <t>Hydroxylysine:0.701</t>
  </si>
  <si>
    <t>Hydroxylysine:0.047</t>
  </si>
  <si>
    <t>Hydroxylysine:0.773</t>
  </si>
  <si>
    <t>Hydroxylysine:0.071</t>
  </si>
  <si>
    <t>Hydroxylysine:0.044</t>
  </si>
  <si>
    <t>Hydroxylysine:0.087</t>
  </si>
  <si>
    <t>Hydroxylysine:0.403</t>
  </si>
  <si>
    <t>Hydroxylysine:0.06</t>
  </si>
  <si>
    <t>Hydroxylysine:0.026</t>
  </si>
  <si>
    <t>Hydroxylysine:0.054</t>
  </si>
  <si>
    <t>Hydroxylysine:0.042</t>
  </si>
  <si>
    <t>Hydroxylysine:0.031</t>
  </si>
  <si>
    <t>Hydroxylysine:0.03</t>
  </si>
  <si>
    <t>Hydroxylysine:0.088</t>
  </si>
  <si>
    <t>Hydroxylysine:0.029</t>
  </si>
  <si>
    <t>Hydroxylysine:0.061</t>
  </si>
  <si>
    <t>Hydroxylysine:0.128</t>
  </si>
  <si>
    <t>Hydroxylysine:0.895</t>
  </si>
  <si>
    <t>Hydroxylysine:0.905</t>
  </si>
  <si>
    <t>Hydroxylysine:0.931</t>
  </si>
  <si>
    <t>Hydroxylysine:0.924</t>
  </si>
  <si>
    <t>Hydroxylysine:0.917</t>
  </si>
  <si>
    <t>Hydroxylysine:0.92</t>
  </si>
  <si>
    <t>Hydroxylysine:0.112</t>
  </si>
  <si>
    <t>Hydroxylysine:0.04</t>
  </si>
  <si>
    <t>Hydroxylysine:0.119</t>
  </si>
  <si>
    <t>Hydroxylysine:0.063</t>
  </si>
  <si>
    <t>Hydroxylysine:0.103</t>
  </si>
  <si>
    <t>Hydroxylysine:0.314</t>
  </si>
  <si>
    <t>Hydroxylysine:0.104</t>
  </si>
  <si>
    <t>Hydroxylysine:0.072</t>
  </si>
  <si>
    <t>Hydroxylysine:0.039</t>
  </si>
  <si>
    <t>Hydroxylysine:0.682</t>
  </si>
  <si>
    <t>Hydroxylysine:0.713</t>
  </si>
  <si>
    <t>Hydroxylysine:0.694</t>
  </si>
  <si>
    <t>Hydroxylysine:0.651</t>
  </si>
  <si>
    <t>Hydroxylysine:0.87</t>
  </si>
  <si>
    <t>Hydroxylysine:0.249</t>
  </si>
  <si>
    <t>Hydroxylysine:0.499</t>
  </si>
  <si>
    <t>Hydroxylysine:0.048</t>
  </si>
  <si>
    <t>Hydroxylysine:0.123</t>
  </si>
  <si>
    <t>Hydroxylysine:0.12</t>
  </si>
  <si>
    <t>Hydroxylysine:0.025</t>
  </si>
  <si>
    <t>Hydroxylysine:0.027</t>
  </si>
  <si>
    <t>Hydroxylysine:0.046</t>
  </si>
  <si>
    <t>Hydroxylysine:0.037</t>
  </si>
  <si>
    <t>Hydroxylysine:0.117</t>
  </si>
  <si>
    <t>Hydroxylysine:0.035</t>
  </si>
  <si>
    <t>Hydroxylysine:0.37</t>
  </si>
  <si>
    <t>Hydroxylysine:0.049</t>
  </si>
  <si>
    <t>Hydroxylysine:0.211</t>
  </si>
  <si>
    <t>Hydroxylysine:0.223</t>
  </si>
  <si>
    <t>Hydroxylysine:0.816</t>
  </si>
  <si>
    <t>Hydroxylysine:0.51</t>
  </si>
  <si>
    <t>Hydroxylysine:0.032</t>
  </si>
  <si>
    <t>&gt;H2B1F_MOUSE_58</t>
  </si>
  <si>
    <t>Hydroxylysine:0.073</t>
  </si>
  <si>
    <t>&gt;CLV3_ARATH_73</t>
  </si>
  <si>
    <t>&gt;CXAT5_CONCE_56</t>
  </si>
  <si>
    <t>&gt;PCEP9_ARATH_51</t>
  </si>
  <si>
    <t>Hydroxylysine:0.09</t>
  </si>
  <si>
    <t>&gt;CO1A1_CHICK_302</t>
  </si>
  <si>
    <t>&gt;C1QB_HUMAN_77</t>
  </si>
  <si>
    <t>Hydroxylysine:0.666</t>
  </si>
  <si>
    <t>&gt;CAFF_RIFPA_810</t>
  </si>
  <si>
    <t>Hydroxylysine:0.506</t>
  </si>
  <si>
    <t>&gt;CO1A2_HUMAN_62</t>
  </si>
  <si>
    <t>&gt;CO2A1_BOVIN_587</t>
  </si>
  <si>
    <t>&gt;CO2A1_BOVIN_566</t>
  </si>
  <si>
    <t>&gt;H14_HUMAN_46</t>
  </si>
  <si>
    <t>Hydroxylysine:0.109</t>
  </si>
  <si>
    <t>Hydroxylysine:0.127</t>
  </si>
  <si>
    <t>&gt;HSY1_SOLLC_121</t>
  </si>
  <si>
    <t>Hydroxylysine:0.221</t>
  </si>
  <si>
    <t>&gt;CO1A1_BOVIN_1185</t>
  </si>
  <si>
    <t>&gt;CO1A1_CHICK_392</t>
  </si>
  <si>
    <t>Hydroxylysine:0.33</t>
  </si>
  <si>
    <t>&gt;CM3E_CONPU_64</t>
  </si>
  <si>
    <t>&gt;CO1A1_CHICK_251</t>
  </si>
  <si>
    <t>Hydroxylysine:0.834</t>
  </si>
  <si>
    <t>&gt;AGP16_ARATH_31</t>
  </si>
  <si>
    <t>&gt;CO1A1_CHICK_767</t>
  </si>
  <si>
    <t>Hydroxylysine:0.125</t>
  </si>
  <si>
    <t>&gt;CP2B_CONBE_13</t>
  </si>
  <si>
    <t>&gt;CAFF_RIFPA_429</t>
  </si>
  <si>
    <t>Hydroxylysine:0.056</t>
  </si>
  <si>
    <t>&gt;CO1A2_BOVIN_367</t>
  </si>
  <si>
    <t>Hydroxylysine:0.148</t>
  </si>
  <si>
    <t>&gt;C6G_CONRE_15</t>
  </si>
  <si>
    <t>&gt;C1QT9_MOUSE_64</t>
  </si>
  <si>
    <t>Hydroxylysine:0.028</t>
  </si>
  <si>
    <t>Hydroxylysine:0.782</t>
  </si>
  <si>
    <t>&gt;FP1V1_PERVI_209</t>
  </si>
  <si>
    <t>Hydroxylysine:0.147</t>
  </si>
  <si>
    <t>Hydroxylysine:0.1</t>
  </si>
  <si>
    <t>Hydroxylysine:0.086</t>
  </si>
  <si>
    <t>&gt;CO1A2_BOVIN_346</t>
  </si>
  <si>
    <t>Hydroxylysine:0.602</t>
  </si>
  <si>
    <t>&gt;ELN_HUMAN_342</t>
  </si>
  <si>
    <t>&gt;STYD_STYCL_44</t>
  </si>
  <si>
    <t>Hydroxylysine:0.881</t>
  </si>
  <si>
    <t>Hydroxylysine:0.885</t>
  </si>
  <si>
    <t>Hydroxylysine:0.89</t>
  </si>
  <si>
    <t>Hydroxylysine:0.915</t>
  </si>
  <si>
    <t>&gt;CA4A_CONMA_61</t>
  </si>
  <si>
    <t>Hydroxylysine:0.069</t>
  </si>
  <si>
    <t>&gt;FCN3_HUMAN_50</t>
  </si>
  <si>
    <t>Hydroxylysine:0.46</t>
  </si>
  <si>
    <t>&gt;KPYM_HUMAN_408</t>
  </si>
  <si>
    <t>&gt;FP1V1_PERVI_139</t>
  </si>
  <si>
    <t>Hydroxylysine:0.146</t>
  </si>
  <si>
    <t>Hydroxylysine:0.122</t>
  </si>
  <si>
    <t>Hydroxylysine:0.155</t>
  </si>
  <si>
    <t>Hydroxylysine:0.172</t>
  </si>
  <si>
    <t>&gt;ANK1_HUMAN_728</t>
  </si>
  <si>
    <t>Hydroxylysine:0.115</t>
  </si>
  <si>
    <t>&gt;CWP04_PHAVU_17</t>
  </si>
  <si>
    <t>&gt;SFTPA_RAT_33</t>
  </si>
  <si>
    <t>&gt;CO5A1_HUMAN_873</t>
  </si>
  <si>
    <t>Hydroxylysine:0.721</t>
  </si>
  <si>
    <t>Hydroxylysine:0.065</t>
  </si>
  <si>
    <t>&gt;FCN3_HUMAN_59</t>
  </si>
  <si>
    <t>Hydroxylysine:0.283</t>
  </si>
  <si>
    <t>&gt;CO1A1_CHICK_428</t>
  </si>
  <si>
    <t>Hydroxylysine:0.649</t>
  </si>
  <si>
    <t>Hydroxylysine:0.328</t>
  </si>
  <si>
    <t>Hydroxylysine:0.132</t>
  </si>
  <si>
    <t>&gt;FP1V2_PERVI_132</t>
  </si>
  <si>
    <t>Hydroxylysine:0.113</t>
  </si>
  <si>
    <t>&gt;FP1V1_PERVI_59</t>
  </si>
  <si>
    <t>Hydroxylysine:0.214</t>
  </si>
  <si>
    <t>Hydroxylysine:0.178</t>
  </si>
  <si>
    <t>&gt;CO2A1_BOVIN_251</t>
  </si>
  <si>
    <t>Hydroxylysine:0.021</t>
  </si>
  <si>
    <t>Hydroxylysine:0.024</t>
  </si>
  <si>
    <t>&gt;CO1A1_CHICK_737</t>
  </si>
  <si>
    <t>Hydroxylysine:0.136</t>
  </si>
  <si>
    <t>Hydroxylysine:0.592</t>
  </si>
  <si>
    <t>&gt;FP1V1_PERVI_22</t>
  </si>
  <si>
    <t>&gt;PHE2_RHDS2_41</t>
  </si>
  <si>
    <t>Hydroxylysine:0.588</t>
  </si>
  <si>
    <t>Hydroxylysine:0.206</t>
  </si>
  <si>
    <t>&gt;HIF1A_HUMAN_803</t>
  </si>
  <si>
    <t>&gt;SKP1A_DICDI_143</t>
  </si>
  <si>
    <t>Hydroxylysine:0.062</t>
  </si>
  <si>
    <t>&gt;ELN_HUMAN_522</t>
  </si>
  <si>
    <t>&gt;ADIPO_BOVIN_96</t>
  </si>
  <si>
    <t>Hydroxylysine:0.746</t>
  </si>
  <si>
    <t>&gt;FCN2_HUMAN_86</t>
  </si>
  <si>
    <t>&gt;CO1A1_CHICK_512</t>
  </si>
  <si>
    <t>Hydroxylysine:0.244</t>
  </si>
  <si>
    <t>&gt;CO2A1_BOVIN_518</t>
  </si>
  <si>
    <t>&gt;CE192_HUMAN_1717</t>
  </si>
  <si>
    <t>Hydroxylysine:0.135</t>
  </si>
  <si>
    <t>Hydroxylysine:0.434</t>
  </si>
  <si>
    <t>&gt;C1QA_HUMAN_57</t>
  </si>
  <si>
    <t>Hydroxylysine:0.616</t>
  </si>
  <si>
    <t>Hydroxylysine:0.697</t>
  </si>
  <si>
    <t>&gt;CO1A1_TYREX_15</t>
  </si>
  <si>
    <t>&gt;CO4A1_MOUSE_606</t>
  </si>
  <si>
    <t>&gt;CO162_CONAH_65</t>
  </si>
  <si>
    <t>&gt;H2A1D_MOUSE_119</t>
  </si>
  <si>
    <t>&gt;HSY1_SOLLC_55</t>
  </si>
  <si>
    <t>&gt;CO1A1_BRACN_60</t>
  </si>
  <si>
    <t>Hydroxylysine:0.134</t>
  </si>
  <si>
    <t>&gt;CAFF_RIFPA_525</t>
  </si>
  <si>
    <t>&gt;CAFF_RIFPA_711</t>
  </si>
  <si>
    <t>&gt;CO16A_CONPU_65</t>
  </si>
  <si>
    <t>&gt;FA7_HUMAN_123</t>
  </si>
  <si>
    <t>Hydroxylysine:0.045</t>
  </si>
  <si>
    <t>&gt;CM31_CONLT_58</t>
  </si>
  <si>
    <t>&gt;LANLB_BACLI_46</t>
  </si>
  <si>
    <t>&gt;AGP31_ARATH_75</t>
  </si>
  <si>
    <t>Hydroxylysine:0.179</t>
  </si>
  <si>
    <t>&gt;ELN_HUMAN_355</t>
  </si>
  <si>
    <t>&gt;FP1V2_PERVI_116</t>
  </si>
  <si>
    <t>Hydroxylysine:0.083</t>
  </si>
  <si>
    <t>&gt;SFTPA_RAT_63</t>
  </si>
  <si>
    <t>&gt;CATLL_FASHE_196</t>
  </si>
  <si>
    <t>&gt;CO1A1_CHICK_629</t>
  </si>
  <si>
    <t>&gt;ELN_HUMAN_481</t>
  </si>
  <si>
    <t>&gt;CO5A1_HUMAN_846</t>
  </si>
  <si>
    <t>Hydroxylysine:0.791</t>
  </si>
  <si>
    <t>&gt;STYD_STYCL_41</t>
  </si>
  <si>
    <t>Hydroxylysine:0.901</t>
  </si>
  <si>
    <t>Hydroxylysine:0.906</t>
  </si>
  <si>
    <t>Hydroxylysine:0.935</t>
  </si>
  <si>
    <t>Hydroxylysine:0.526</t>
  </si>
  <si>
    <t>&gt;ELN_HUMAN_465</t>
  </si>
  <si>
    <t>&gt;ADIPO_MOUSE_94</t>
  </si>
  <si>
    <t>Hydroxylysine:0.792</t>
  </si>
  <si>
    <t>&gt;CO2A1_RAT_1119</t>
  </si>
  <si>
    <t>&gt;FP1V1_PERVI_206</t>
  </si>
  <si>
    <t>Hydroxylysine:0.173</t>
  </si>
  <si>
    <t>Hydroxylysine:0.126</t>
  </si>
  <si>
    <t>&gt;CO1A2_HUMAN_71</t>
  </si>
  <si>
    <t>&gt;C1QB_HUMAN_38</t>
  </si>
  <si>
    <t>&gt;FP1V2_PERVI_112</t>
  </si>
  <si>
    <t>Hydroxylysine:0.131</t>
  </si>
  <si>
    <t>&gt;AGP16_ARATH_35</t>
  </si>
  <si>
    <t>&gt;CAFF_RIFPA_108</t>
  </si>
  <si>
    <t>Hydroxylysine:0.712</t>
  </si>
  <si>
    <t>Hydroxylysine:0.078</t>
  </si>
  <si>
    <t>&gt;CO2A1_BOVIN_284</t>
  </si>
  <si>
    <t>Hydroxylysine:0.914</t>
  </si>
  <si>
    <t>&gt;CO2A1_BOVIN_416</t>
  </si>
  <si>
    <t>Hydroxylysine:0.638</t>
  </si>
  <si>
    <t>&gt;FA9_BOVIN_110</t>
  </si>
  <si>
    <t>&gt;CO2A1_RAT_1145</t>
  </si>
  <si>
    <t>&gt;CO1A1_CHICK_830</t>
  </si>
  <si>
    <t>Hydroxylysine:0.092</t>
  </si>
  <si>
    <t>&gt;CDKC_CONVX_21</t>
  </si>
  <si>
    <t>&gt;AGP4_ARATH_39</t>
  </si>
  <si>
    <t>&gt;CO2A1_BOVIN_527</t>
  </si>
  <si>
    <t>Hydroxylysine:0.6</t>
  </si>
  <si>
    <t>&gt;FP1V1_PERVI_73</t>
  </si>
  <si>
    <t>Hydroxylysine:0.094</t>
  </si>
  <si>
    <t>Hydroxylysine:0.142</t>
  </si>
  <si>
    <t>Hydroxylysine:0.138</t>
  </si>
  <si>
    <t>&gt;CO1A2_BOVIN_328</t>
  </si>
  <si>
    <t>&gt;CXAT1_CONMI_55</t>
  </si>
  <si>
    <t>&gt;CAFF_RIFPA_261</t>
  </si>
  <si>
    <t>Hydroxylysine:0.549</t>
  </si>
  <si>
    <t>&gt;ELN_HUMAN_116</t>
  </si>
  <si>
    <t>Hydroxylysine:0.159</t>
  </si>
  <si>
    <t>&gt;AGP31_ARATH_215</t>
  </si>
  <si>
    <t>&gt;CBW_CONRA_22</t>
  </si>
  <si>
    <t>Hydroxylysine:0.07</t>
  </si>
  <si>
    <t>&gt;CM3A_CONGE_56</t>
  </si>
  <si>
    <t>Hydroxylysine:0.177</t>
  </si>
  <si>
    <t>&gt;AGP31_ARATH_210</t>
  </si>
  <si>
    <t>Hydroxylysine:0.019</t>
  </si>
  <si>
    <t>&gt;LANNU_STRUB_42</t>
  </si>
  <si>
    <t>Hydroxylysine:0.189</t>
  </si>
  <si>
    <t>&gt;AGP10_ARATH_32</t>
  </si>
  <si>
    <t>&gt;CAFF_RIFPA_708</t>
  </si>
  <si>
    <t>&gt;CO2A1_BOVIN_233</t>
  </si>
  <si>
    <t>&gt;FP1V1_PERVI_105</t>
  </si>
  <si>
    <t>Hydroxylysine:0.064</t>
  </si>
  <si>
    <t>&gt;CAFF_RIFPA_1013</t>
  </si>
  <si>
    <t>&gt;CO1A1_CHICK_680</t>
  </si>
  <si>
    <t>&gt;ADIPO_BOVIN_42</t>
  </si>
  <si>
    <t>&gt;CO2A1_BOVIN_368</t>
  </si>
  <si>
    <t>Hydroxylysine:0.737</t>
  </si>
  <si>
    <t>&gt;CO6A3_HUMAN_2239</t>
  </si>
  <si>
    <t>&gt;MBL2_HUMAN_82</t>
  </si>
  <si>
    <t>Hydroxylysine:0.366</t>
  </si>
  <si>
    <t>&gt;AGP15_ARATH_29</t>
  </si>
  <si>
    <t>&gt;IKBA_HUMAN_210</t>
  </si>
  <si>
    <t>&gt;H3C_MOUSE_65</t>
  </si>
  <si>
    <t>Hydroxylysine:0.066</t>
  </si>
  <si>
    <t>&gt;CONG_BOVIN_162</t>
  </si>
  <si>
    <t>Hydroxylysine:0.395</t>
  </si>
  <si>
    <t>Hydroxylysine:0.544</t>
  </si>
  <si>
    <t>&gt;PCEP9_ARATH_230</t>
  </si>
  <si>
    <t>&gt;CO2A1_BOVIN_245</t>
  </si>
  <si>
    <t>&gt;AGP7_ARATH_35</t>
  </si>
  <si>
    <t>&gt;CO1A2_BOVIN_439</t>
  </si>
  <si>
    <t>&gt;CHI2_TOBAC_69</t>
  </si>
  <si>
    <t>&gt;CEX_CONCN_17</t>
  </si>
  <si>
    <t>&gt;CO1A1_CHICK_887</t>
  </si>
  <si>
    <t>&gt;CO1A1_CHICK_1169</t>
  </si>
  <si>
    <t>&gt;LANLB_BACLI_48</t>
  </si>
  <si>
    <t>&gt;C1QC_HUMAN_75</t>
  </si>
  <si>
    <t>Hydroxylysine:0.514</t>
  </si>
  <si>
    <t>Hydroxylysine:0.513</t>
  </si>
  <si>
    <t>&gt;CO1A1_CHICK_236</t>
  </si>
  <si>
    <t>Hydroxylysine:0.057</t>
  </si>
  <si>
    <t>&gt;ADIPO_BOVIN_60</t>
  </si>
  <si>
    <t>Hydroxylysine:0.826</t>
  </si>
  <si>
    <t>&gt;COEA1_HUMAN_1701</t>
  </si>
  <si>
    <t>Hydroxylysine:0.627</t>
  </si>
  <si>
    <t>Hydroxylysine:0.634</t>
  </si>
  <si>
    <t>&gt;H2B1F_MOUSE_44</t>
  </si>
  <si>
    <t>Hydroxylysine:0.014</t>
  </si>
  <si>
    <t>&gt;C1QA_HUMAN_67</t>
  </si>
  <si>
    <t>Hydroxylysine:0.729</t>
  </si>
  <si>
    <t>&gt;CO1A1_CHICK_416</t>
  </si>
  <si>
    <t>Hydroxylysine:0.725</t>
  </si>
  <si>
    <t>&gt;CO2A1_RAT_1133</t>
  </si>
  <si>
    <t>&gt;H31_MOUSE_24</t>
  </si>
  <si>
    <t>Hydroxylysine:0.327</t>
  </si>
  <si>
    <t>Hydroxylysine:0.296</t>
  </si>
  <si>
    <t>&gt;CBW_CONRA_21</t>
  </si>
  <si>
    <t>&gt;ADIPO_HUMAN_76</t>
  </si>
  <si>
    <t>Hydroxylysine:0.373</t>
  </si>
  <si>
    <t>Hydroxylysine:0.674</t>
  </si>
  <si>
    <t>&gt;CAFF_RIFPA_96</t>
  </si>
  <si>
    <t>Hydroxylysine:0.889</t>
  </si>
  <si>
    <t>&gt;AGP4_ARATH_34</t>
  </si>
  <si>
    <t>&gt;CAFF_RIFPA_366</t>
  </si>
  <si>
    <t>&gt;ELN_HUMAN_589</t>
  </si>
  <si>
    <t>&gt;CAFF_RIFPA_717</t>
  </si>
  <si>
    <t>&gt;CO5A1_HUMAN_897</t>
  </si>
  <si>
    <t>Hydroxylysine:0.794</t>
  </si>
  <si>
    <t>&gt;CO1A1_CHICK_590</t>
  </si>
  <si>
    <t>Hydroxylysine:0.101</t>
  </si>
  <si>
    <t>&gt;AGP31_ARATH_87</t>
  </si>
  <si>
    <t>Hydroxylysine:0.089</t>
  </si>
  <si>
    <t>&gt;CAFF_RIFPA_416</t>
  </si>
  <si>
    <t>Hydroxylysine:0.058</t>
  </si>
  <si>
    <t>&gt;CO1A1_CHICK_671</t>
  </si>
  <si>
    <t>&gt;LANP_STAEP_46</t>
  </si>
  <si>
    <t>&gt;CO3A1_BOVIN_95</t>
  </si>
  <si>
    <t>Hydroxylysine:0.707</t>
  </si>
  <si>
    <t>&gt;CO5A1_HUMAN_627</t>
  </si>
  <si>
    <t>Hydroxylysine:0.778</t>
  </si>
  <si>
    <t>&gt;U2AF2_HUMAN_276</t>
  </si>
  <si>
    <t>Hydroxylysine:0.646</t>
  </si>
  <si>
    <t>&gt;CAFF_RIFPA_888</t>
  </si>
  <si>
    <t>&gt;AMBN_PIG_37</t>
  </si>
  <si>
    <t>&gt;FP1V1_PERVI_96</t>
  </si>
  <si>
    <t>Hydroxylysine:0.102</t>
  </si>
  <si>
    <t>&gt;CO1A2_BOVIN_190</t>
  </si>
  <si>
    <t>Hydroxylysine:0.564</t>
  </si>
  <si>
    <t>&gt;CO2A1_BOVIN_278</t>
  </si>
  <si>
    <t>Hydroxylysine:0.855</t>
  </si>
  <si>
    <t>&gt;SFTPA_RAT_76</t>
  </si>
  <si>
    <t>&gt;LANA_STRMD_33</t>
  </si>
  <si>
    <t>&gt;COEA1_HUMAN_1677</t>
  </si>
  <si>
    <t>&gt;INS1A_CONGE_34</t>
  </si>
  <si>
    <t>Hydroxylysine:0.168</t>
  </si>
  <si>
    <t>&gt;H12_MOUSE_81</t>
  </si>
  <si>
    <t>Hydroxylysine:0.251</t>
  </si>
  <si>
    <t>&gt;HSY1_SOLLC_56</t>
  </si>
  <si>
    <t>&gt;CAFF_RIFPA_39</t>
  </si>
  <si>
    <t>&gt;CAFF_RIFPA_53</t>
  </si>
  <si>
    <t>&gt;CAFF_RIFPA_150</t>
  </si>
  <si>
    <t>&gt;COEA1_HUMAN_1747</t>
  </si>
  <si>
    <t>&gt;FP1V1_PERVI_255</t>
  </si>
  <si>
    <t>Hydroxylysine:0.107</t>
  </si>
  <si>
    <t>&gt;CO1A2_BOVIN_226</t>
  </si>
  <si>
    <t>&gt;CO2A1_BOVIN_623</t>
  </si>
  <si>
    <t>Hydroxylysine:0.505</t>
  </si>
  <si>
    <t>&gt;LANN_LACLL_25</t>
  </si>
  <si>
    <t>&gt;FP1V2_PERVI_129</t>
  </si>
  <si>
    <t>Hydroxylysine:0.108</t>
  </si>
  <si>
    <t>&gt;CO2A1_BOVIN_425</t>
  </si>
  <si>
    <t>Hydroxylysine:0.333</t>
  </si>
  <si>
    <t>&gt;CO5A1_HUMAN_804</t>
  </si>
  <si>
    <t>Hydroxylysine:0.789</t>
  </si>
  <si>
    <t>Hydroxylysine:0.831</t>
  </si>
  <si>
    <t>Hydroxylysine:0.837</t>
  </si>
  <si>
    <t>Hydroxylysine:0.815</t>
  </si>
  <si>
    <t>&gt;AGP13_ARATH_33</t>
  </si>
  <si>
    <t>&gt;LANA1_LACLL_32</t>
  </si>
  <si>
    <t>&gt;FP1V1_PERVI_76</t>
  </si>
  <si>
    <t>Hydroxylysine:0.121</t>
  </si>
  <si>
    <t>Hydroxylysine:0.176</t>
  </si>
  <si>
    <t>Hydroxylysine:0.106</t>
  </si>
  <si>
    <t>&gt;CO2A1_RAT_602</t>
  </si>
  <si>
    <t>&gt;CO5A1_HUMAN_648</t>
  </si>
  <si>
    <t>Hydroxylysine:0.358</t>
  </si>
  <si>
    <t>&gt;AGP9_ARATH_31</t>
  </si>
  <si>
    <t>&gt;CO5A1_HUMAN_639</t>
  </si>
  <si>
    <t>Hydroxylysine:0.784</t>
  </si>
  <si>
    <t>&gt;CO2A1_BOVIN_299</t>
  </si>
  <si>
    <t>Hydroxylysine:0.744</t>
  </si>
  <si>
    <t>Hydroxylysine:0.735</t>
  </si>
  <si>
    <t>&gt;CO1A1_CHICK_1112</t>
  </si>
  <si>
    <t>&gt;C1QT9_MOUSE_31</t>
  </si>
  <si>
    <t>&gt;FP1V2_PERVI_149</t>
  </si>
  <si>
    <t>Hydroxylysine:0.228</t>
  </si>
  <si>
    <t>Hydroxylysine:0.181</t>
  </si>
  <si>
    <t>Hydroxylysine:0.209</t>
  </si>
  <si>
    <t>&gt;CDK3_CONMS_55</t>
  </si>
  <si>
    <t>&gt;CAFF_RIFPA_612</t>
  </si>
  <si>
    <t>Hydroxylysine:0.531</t>
  </si>
  <si>
    <t>&gt;COEA1_HUMAN_346</t>
  </si>
  <si>
    <t>&gt;NOTC1_HUMAN_421</t>
  </si>
  <si>
    <t>&gt;NOTC1_HUMAN_947</t>
  </si>
  <si>
    <t>&gt;ENAM_PIG_84</t>
  </si>
  <si>
    <t>&gt;FCN3_HUMAN_18</t>
  </si>
  <si>
    <t>&gt;HIF1A_HUMAN_215</t>
  </si>
  <si>
    <t>&gt;PAL_NOSP7_468</t>
  </si>
  <si>
    <t>&gt;PROZ_BOVIN_216</t>
  </si>
  <si>
    <t>&gt;HIF1_CAEEL_400</t>
  </si>
  <si>
    <t>&gt;PAL1_PETCR_390</t>
  </si>
  <si>
    <t>&gt;ANK1_HUMAN_34</t>
  </si>
  <si>
    <t>&gt;HIF1_CAEEL_473</t>
  </si>
  <si>
    <t>Hydroxylysine:0.157</t>
  </si>
  <si>
    <t>&gt;COEA1_HUMAN_1253</t>
  </si>
  <si>
    <t>&gt;C1QT9_MOUSE_220</t>
  </si>
  <si>
    <t>&gt;C1QC_HUMAN_161</t>
  </si>
  <si>
    <t>Hydroxylysine:0.085</t>
  </si>
  <si>
    <t>&gt;CO2A1_BOVIN_1294</t>
  </si>
  <si>
    <t>Hydroxylysine:0.034</t>
  </si>
  <si>
    <t>&gt;HUTH_PSEPU_419</t>
  </si>
  <si>
    <t>&gt;PERC_AEDAE_501</t>
  </si>
  <si>
    <t>&gt;CO1A2_CHICK_1154</t>
  </si>
  <si>
    <t>&gt;CO5A1_HUMAN_259</t>
  </si>
  <si>
    <t>&gt;PROS_BOVIN_198</t>
  </si>
  <si>
    <t>&gt;ENAM_PIG_944</t>
  </si>
  <si>
    <t>&gt;FA10_HUMAN_216</t>
  </si>
  <si>
    <t>&gt;CO6A3_HUMAN_1913</t>
  </si>
  <si>
    <t>Hydroxylysine:0.105</t>
  </si>
  <si>
    <t>&gt;CO6A3_HUMAN_3017</t>
  </si>
  <si>
    <t>&gt;CO4A1_BOVIN_1501</t>
  </si>
  <si>
    <t>&gt;CO1A2_HUMAN_1332</t>
  </si>
  <si>
    <t>&gt;C1S_HUMAN_64</t>
  </si>
  <si>
    <t>&gt;KPYM_HUMAN_302</t>
  </si>
  <si>
    <t>Hydroxylysine:0.175</t>
  </si>
  <si>
    <t>Hydroxylysine:0.082</t>
  </si>
  <si>
    <t>&gt;ADRB2_HUMAN_20</t>
  </si>
  <si>
    <t>&gt;PROC_BOVIN_197</t>
  </si>
  <si>
    <t>Hydroxylysine:0.059</t>
  </si>
  <si>
    <t>&gt;FA7_HUMAN_256</t>
  </si>
  <si>
    <t>Hydroxylysine:0.055</t>
  </si>
  <si>
    <t>&gt;AGO2_HUMAN_170</t>
  </si>
  <si>
    <t>&gt;FA10_BOVIN_73</t>
  </si>
  <si>
    <t>&gt;ARRB2_HUMAN_125</t>
  </si>
  <si>
    <t>&gt;CE192_HUMAN_468</t>
  </si>
  <si>
    <t>&gt;ENAM_PIG_12</t>
  </si>
  <si>
    <t>&gt;MYPT1_HUMAN_482</t>
  </si>
  <si>
    <t>Hydroxylysine:0.093</t>
  </si>
  <si>
    <t>Hydroxylysine:0.079</t>
  </si>
  <si>
    <t>&gt;C1QT9_MOUSE_268</t>
  </si>
  <si>
    <t>Hydroxylysine:0.023</t>
  </si>
  <si>
    <t>&gt;CO1A2_CHICK_1217</t>
  </si>
  <si>
    <t>Hydroxylysine:0.018</t>
  </si>
  <si>
    <t>&gt;CE192_HUMAN_1556</t>
  </si>
  <si>
    <t>&gt;IKKB_HUMAN_80</t>
  </si>
  <si>
    <t>&gt;TRBM_HUMAN_409</t>
  </si>
  <si>
    <t>&gt;UMEC_ARMRU_80</t>
  </si>
  <si>
    <t>&gt;NOSM_STRAS_17</t>
  </si>
  <si>
    <t>&gt;COW_CONSE_40</t>
  </si>
  <si>
    <t>&gt;NOSM_STRAS_23</t>
  </si>
  <si>
    <t>&gt;PAL_ANAVT_73</t>
  </si>
  <si>
    <t>&gt;COAA1_CHICK_614</t>
  </si>
  <si>
    <t>&gt;CO6A3_HUMAN_1699</t>
  </si>
  <si>
    <t>&gt;COEA1_HUMAN_1218</t>
  </si>
  <si>
    <t>&gt;LC7L2_HUMAN_61</t>
  </si>
  <si>
    <t>&gt;CM3C_CONTE_49</t>
  </si>
  <si>
    <t>&gt;ANK1_HUMAN_1492</t>
  </si>
  <si>
    <t>Hydroxylysine:0.174</t>
  </si>
  <si>
    <t>&gt;NOTC1_HUMAN_754</t>
  </si>
  <si>
    <t>&gt;PAL_NOSP7_395</t>
  </si>
  <si>
    <t>&gt;CM3E_CONPU_31</t>
  </si>
  <si>
    <t>&gt;MYPT1_HUMAN_288</t>
  </si>
  <si>
    <t>&gt;CO1A1_BOVIN_82</t>
  </si>
  <si>
    <t>&gt;IKKB_HUMAN_148</t>
  </si>
  <si>
    <t>&gt;FA10_BOVIN_159</t>
  </si>
  <si>
    <t>&gt;MBL1_RAT_199</t>
  </si>
  <si>
    <t>&gt;PROC_BOVIN_167</t>
  </si>
  <si>
    <t>&gt;HIF1_CAEEL_581</t>
  </si>
  <si>
    <t>&gt;RBL_CHLRE_453</t>
  </si>
  <si>
    <t>Hydroxylysine:0.068</t>
  </si>
  <si>
    <t>&gt;TNKS2_HUMAN_1023</t>
  </si>
  <si>
    <t>&gt;SKP1A_DICDI_65</t>
  </si>
  <si>
    <t>Hydroxylysine:0.074</t>
  </si>
  <si>
    <t>&gt;CO6A3_HUMAN_1788</t>
  </si>
  <si>
    <t>&gt;NOTC1_HUMAN_280</t>
  </si>
  <si>
    <t>&gt;NOTC1_HUMAN_1484</t>
  </si>
  <si>
    <t>&gt;CO9A2_CHICK_543</t>
  </si>
  <si>
    <t>&gt;LTBP1_HUMAN_1670</t>
  </si>
  <si>
    <t>&gt;CE192_HUMAN_2185</t>
  </si>
  <si>
    <t>&gt;PROS_BOVIN_418</t>
  </si>
  <si>
    <t>&gt;LC7L2_HUMAN_161</t>
  </si>
  <si>
    <t>&gt;CO1A1_MOUSE_1294</t>
  </si>
  <si>
    <t>&gt;CO6A3_HUMAN_3081</t>
  </si>
  <si>
    <t>&gt;CO5A1_HUMAN_329</t>
  </si>
  <si>
    <t>&gt;CO2A1_BOVIN_1467</t>
  </si>
  <si>
    <t>&gt;NFKB1_HUMAN_246</t>
  </si>
  <si>
    <t>Hydroxylysine:0.217</t>
  </si>
  <si>
    <t>Hydroxylysine:0.077</t>
  </si>
  <si>
    <t>&gt;CO6A3_HUMAN_687</t>
  </si>
  <si>
    <t>&gt;CO6A3_HUMAN_414</t>
  </si>
  <si>
    <t>&gt;C1S_HUMAN_191</t>
  </si>
  <si>
    <t>Hydroxylysine:0.167</t>
  </si>
  <si>
    <t>&gt;CO6A3_HUMAN_2655</t>
  </si>
  <si>
    <t>&gt;C1QA_HUMAN_143</t>
  </si>
  <si>
    <t>&gt;HUTH_PSEPU_353</t>
  </si>
  <si>
    <t>&gt;COEA1_HUMAN_309</t>
  </si>
  <si>
    <t>&gt;CO5A1_HUMAN_312</t>
  </si>
  <si>
    <t>&gt;TNKS2_HUMAN_531</t>
  </si>
  <si>
    <t>&gt;CO2A1_BOVIN_87</t>
  </si>
  <si>
    <t>&gt;NOTC1_MOUSE_70</t>
  </si>
  <si>
    <t>&gt;CO4A3_BOVIN_331</t>
  </si>
  <si>
    <t>&gt;PAM_TAXWC_468</t>
  </si>
  <si>
    <t>&gt;HIF1A_HUMAN_89</t>
  </si>
  <si>
    <t>Hydroxylysine:0.139</t>
  </si>
  <si>
    <t>Hydroxylysine:0.343</t>
  </si>
  <si>
    <t>&gt;AGO2_HUMAN_249</t>
  </si>
  <si>
    <t>Hydroxylysine:0.022</t>
  </si>
  <si>
    <t>&gt;COEA1_HUMAN_1091</t>
  </si>
  <si>
    <t>Hydroxylysine:0.145</t>
  </si>
  <si>
    <t>&gt;CE192_HUMAN_1687</t>
  </si>
  <si>
    <t>Hydroxylysine:0.084</t>
  </si>
  <si>
    <t>&gt;NOTC1_HUMAN_605</t>
  </si>
  <si>
    <t>&gt;PAL_ANAVT_271</t>
  </si>
  <si>
    <t>&gt;NOTC1_HUMAN_70</t>
  </si>
  <si>
    <t>&gt;NOTC1_HUMAN_253</t>
  </si>
  <si>
    <t>&gt;MBL1_RAT_169</t>
  </si>
  <si>
    <t>&gt;IKKB_HUMAN_627</t>
  </si>
  <si>
    <t>&gt;CO6A3_HUMAN_1687</t>
  </si>
  <si>
    <t>&gt;TRBM_HUMAN_116</t>
  </si>
  <si>
    <t>&gt;LC7L2_HUMAN_154</t>
  </si>
  <si>
    <t>&gt;TDIF_ZINVI_109</t>
  </si>
  <si>
    <t>Hydroxylysine:0.272</t>
  </si>
  <si>
    <t>&gt;NOTC1_MOUSE_1185</t>
  </si>
  <si>
    <t>&gt;IKKB_HUMAN_668</t>
  </si>
  <si>
    <t>&gt;CO4A3_BOVIN_369</t>
  </si>
  <si>
    <t>&gt;AGO2_HUMAN_580</t>
  </si>
  <si>
    <t>&gt;CO6A3_HUMAN_2519</t>
  </si>
  <si>
    <t>&gt;PROC_HUMAN_231</t>
  </si>
  <si>
    <t>&gt;PALY_RHOTO_602</t>
  </si>
  <si>
    <t>&gt;HIF1_CAEEL_667</t>
  </si>
  <si>
    <t>&gt;CE192_HUMAN_1127</t>
  </si>
  <si>
    <t>&gt;AMBN_PIG_186</t>
  </si>
  <si>
    <t>&gt;CO4A1_BOVIN_1568</t>
  </si>
  <si>
    <t>&gt;COEA1_HUMAN_787</t>
  </si>
  <si>
    <t>Hydroxylysine:0.21</t>
  </si>
  <si>
    <t>&gt;C1S_HUMAN_233</t>
  </si>
  <si>
    <t>&gt;UMEC_ARMRU_62</t>
  </si>
  <si>
    <t>&gt;MASP2_RAT_176</t>
  </si>
  <si>
    <t>&gt;CONG_BOVIN_303</t>
  </si>
  <si>
    <t>&gt;TELO2_HUMAN_278</t>
  </si>
  <si>
    <t>&gt;COEA1_HUMAN_852</t>
  </si>
  <si>
    <t>&gt;NOTC1_HUMAN_2039</t>
  </si>
  <si>
    <t>&gt;CE192_HUMAN_1095</t>
  </si>
  <si>
    <t>&gt;FA9_BOVIN_341</t>
  </si>
  <si>
    <t>&gt;PAM_TAXWC_91</t>
  </si>
  <si>
    <t>&gt;HIF1A_HUMAN_708</t>
  </si>
  <si>
    <t>&gt;CO6A3_HUMAN_2834</t>
  </si>
  <si>
    <t>&gt;CE192_HUMAN_1905</t>
  </si>
  <si>
    <t>&gt;PALY_RHOTO_479</t>
  </si>
  <si>
    <t>&gt;NFKB1_HUMAN_576</t>
  </si>
  <si>
    <t>&gt;TNKS2_HUMAN_288</t>
  </si>
  <si>
    <t>&gt;TNKS2_HUMAN_413</t>
  </si>
  <si>
    <t>Hydroxylysine:0.017</t>
  </si>
  <si>
    <t>&gt;SFTPD_RAT_236</t>
  </si>
  <si>
    <t>&gt;ENAM_PIG_417</t>
  </si>
  <si>
    <t>&gt;PALY_RHOTO_696</t>
  </si>
  <si>
    <t>Hydroxylysine:0.111</t>
  </si>
  <si>
    <t>&gt;COEA1_HUMAN_1114</t>
  </si>
  <si>
    <t>&gt;CO1A1_MOUSE_1197</t>
  </si>
  <si>
    <t>Hydroxylysine:0.081</t>
  </si>
  <si>
    <t>&gt;ANK1_HUMAN_492</t>
  </si>
  <si>
    <t>&gt;LTBP1_HUMAN_386</t>
  </si>
  <si>
    <t>&gt;LTBP1_HUMAN_1664</t>
  </si>
  <si>
    <t>&gt;HIF1_CAEEL_436</t>
  </si>
  <si>
    <t>&gt;TELO2_HUMAN_236</t>
  </si>
  <si>
    <t>&gt;ENAM_PIG_633</t>
  </si>
  <si>
    <t>&gt;RL27A_HUMAN_17</t>
  </si>
  <si>
    <t>Hydroxylysine:0.295</t>
  </si>
  <si>
    <t>Hydroxylysine:0.438</t>
  </si>
  <si>
    <t>Hydroxylysine:0.44</t>
  </si>
  <si>
    <t>Hydroxylysine:0.26</t>
  </si>
  <si>
    <t>&gt;TNKS2_HUMAN_626</t>
  </si>
  <si>
    <t>Hydroxylysine:0.224</t>
  </si>
  <si>
    <t>&gt;CT5A_CONTE_31</t>
  </si>
  <si>
    <t>Hydroxylysine:0.02</t>
  </si>
  <si>
    <t>&gt;RL27A_HUMAN_62</t>
  </si>
  <si>
    <t>Hydroxylysine:0.17</t>
  </si>
  <si>
    <t>Hydroxylysine:0.452</t>
  </si>
  <si>
    <t>&gt;PROC_HUMAN_65</t>
  </si>
  <si>
    <t>&gt;MYPT1_HUMAN_382</t>
  </si>
  <si>
    <t>&gt;HUTH_PSEPU_268</t>
  </si>
  <si>
    <t>&gt;NOTC1_MOUSE_1409</t>
  </si>
  <si>
    <t>&gt;LTBP1_HUMAN_1087</t>
  </si>
  <si>
    <t>&gt;TAM_STRGL_14</t>
  </si>
  <si>
    <t>&gt;CO6A3_HUMAN_3015</t>
  </si>
  <si>
    <t>&gt;PAL_NOSP7_438</t>
  </si>
  <si>
    <t>&gt;IKKB_HUMAN_673</t>
  </si>
  <si>
    <t>&gt;CO4A3_BOVIN_327</t>
  </si>
  <si>
    <t>&gt;PAL_NOSP7_433</t>
  </si>
  <si>
    <t>&gt;MBL1_RAT_122</t>
  </si>
  <si>
    <t>&gt;PALY_RHOTO_377</t>
  </si>
  <si>
    <t>&gt;CT5AB_CONTE_34</t>
  </si>
  <si>
    <t>&gt;NOTC1_HUMAN_109</t>
  </si>
  <si>
    <t>&gt;PAL1_PETCR_450</t>
  </si>
  <si>
    <t>Hydroxylysine:0.15</t>
  </si>
  <si>
    <t>&gt;CO6A3_HUMAN_2895</t>
  </si>
  <si>
    <t>&gt;PROS_BOVIN_292</t>
  </si>
  <si>
    <t>&gt;FA9_BOVIN_150</t>
  </si>
  <si>
    <t>&gt;CO1A1_MOUSE_93</t>
  </si>
  <si>
    <t>&gt;COEA1_HUMAN_194</t>
  </si>
  <si>
    <t>&gt;FIBA_HUMAN_246</t>
  </si>
  <si>
    <t>&gt;PROS_BOVIN_406</t>
  </si>
  <si>
    <t>&gt;CO6A3_HUMAN_3127</t>
  </si>
  <si>
    <t>&gt;COEA1_HUMAN_979</t>
  </si>
  <si>
    <t>&gt;CO1A1_BOVIN_1309</t>
  </si>
  <si>
    <t>&gt;AMBN_PIG_402</t>
  </si>
  <si>
    <t>&gt;ADIPO_BOVIN_202</t>
  </si>
  <si>
    <t>&gt;HUTH_PSEPU_411</t>
  </si>
  <si>
    <t>&gt;BDS2A_ANTMC_29</t>
  </si>
  <si>
    <t>Hydroxylysine:0.207</t>
  </si>
  <si>
    <t>&gt;ADIPO_HUMAN_180</t>
  </si>
  <si>
    <t>&gt;LTBP1_HUMAN_59</t>
  </si>
  <si>
    <t>&gt;NOTC1_HUMAN_1489</t>
  </si>
  <si>
    <t>&gt;PAM_TAXWC_407</t>
  </si>
  <si>
    <t>&gt;FA7_HUMAN_146</t>
  </si>
  <si>
    <t>&gt;CO1A1_MOUSE_75</t>
  </si>
  <si>
    <t>&gt;CO7A1_HUMAN_1104</t>
  </si>
  <si>
    <t>&gt;CO6A3_HUMAN_155</t>
  </si>
  <si>
    <t>&gt;ENAM_PIG_98</t>
  </si>
  <si>
    <t>Hydroxylysine:0.118</t>
  </si>
  <si>
    <t>&gt;C1QA_HUMAN_115</t>
  </si>
  <si>
    <t>&gt;LTBP1_HUMAN_481</t>
  </si>
  <si>
    <t>&gt;HUTH_PSEPU_312</t>
  </si>
  <si>
    <t>&gt;MBL1_RAT_126</t>
  </si>
  <si>
    <t>Hydroxylysine:0.091</t>
  </si>
  <si>
    <t>&gt;CE192_HUMAN_1348</t>
  </si>
  <si>
    <t>&gt;CO1A1_CHICK_1422</t>
  </si>
  <si>
    <t>&gt;ANK1_HUMAN_44</t>
  </si>
  <si>
    <t>&gt;CO7A1_HUMAN_1059</t>
  </si>
  <si>
    <t>&gt;CO1A2_HUMAN_1335</t>
  </si>
  <si>
    <t>&gt;PROS_BOVIN_472</t>
  </si>
  <si>
    <t>&gt;ARRB2_HUMAN_37</t>
  </si>
  <si>
    <t>&gt;SFTPA_RAT_165</t>
  </si>
  <si>
    <t>&gt;MYPT1_HUMAN_724</t>
  </si>
  <si>
    <t>&gt;PERC_AEDAE_183</t>
  </si>
  <si>
    <t>&gt;CO1A2_HUMAN_1346</t>
  </si>
  <si>
    <t>&gt;ENAM_PIG_147</t>
  </si>
  <si>
    <t>&gt;CO7A1_HUMAN_688</t>
  </si>
  <si>
    <t>&gt;CE192_HUMAN_1588</t>
  </si>
  <si>
    <t>&gt;CO5A1_HUMAN_109</t>
  </si>
  <si>
    <t>&gt;THCL_STRAJ_14</t>
  </si>
  <si>
    <t>&gt;NOTC1_HUMAN_2058</t>
  </si>
  <si>
    <t>&gt;CO6A3_HUMAN_1946</t>
  </si>
  <si>
    <t>&gt;RBL_CHLRE_210</t>
  </si>
  <si>
    <t>&gt;C1R_HUMAN_572</t>
  </si>
  <si>
    <t>&gt;C1S_HUMAN_170</t>
  </si>
  <si>
    <t>&gt;CO5A1_HUMAN_52</t>
  </si>
  <si>
    <t>&gt;HIF1A_HUMAN_529</t>
  </si>
  <si>
    <t>&gt;FA7_HUMAN_279</t>
  </si>
  <si>
    <t>&gt;COEA1_HUMAN_1200</t>
  </si>
  <si>
    <t>&gt;PALY_RHOTO_97</t>
  </si>
  <si>
    <t>&gt;HIF1A_HUMAN_582</t>
  </si>
  <si>
    <t>&gt;FA10_HUMAN_347</t>
  </si>
  <si>
    <t>&gt;COEA1_HUMAN_32</t>
  </si>
  <si>
    <t>&gt;PAL_ANAVT_461</t>
  </si>
  <si>
    <t>&gt;PROS_BOVIN_43</t>
  </si>
  <si>
    <t>&gt;C1S_HUMAN_528</t>
  </si>
  <si>
    <t>Hydroxylysine:0.185</t>
  </si>
  <si>
    <t>&gt;CONG_BOVIN_344</t>
  </si>
  <si>
    <t>&gt;CO6A3_HUMAN_806</t>
  </si>
  <si>
    <t>&gt;CO7A1_HUMAN_176</t>
  </si>
  <si>
    <t>Hydroxylysine:0.08</t>
  </si>
  <si>
    <t>&gt;CO5A1_HUMAN_296</t>
  </si>
  <si>
    <t>&gt;CO5A2_HUMAN_1355</t>
  </si>
  <si>
    <t>&gt;ADIPO_BOVIN_175</t>
  </si>
  <si>
    <t>&gt;COEA1_HUMAN_1064</t>
  </si>
  <si>
    <t>&gt;LTBP1_HUMAN_167</t>
  </si>
  <si>
    <t>&gt;BRK1_PHYSA_50</t>
  </si>
  <si>
    <t>&gt;LANP_STAEP_16</t>
  </si>
  <si>
    <t>&gt;PROS_BOVIN_548</t>
  </si>
  <si>
    <t>&gt;CO1A1_BOVIN_1370</t>
  </si>
  <si>
    <t>&gt;FA7_HUMAN_302</t>
  </si>
  <si>
    <t>&gt;AGO2_HUMAN_92</t>
  </si>
  <si>
    <t>&gt;CO2A1_BOVIN_1235</t>
  </si>
  <si>
    <t>&gt;CONG_BOVIN_285</t>
  </si>
  <si>
    <t>&gt;HIF3A_HUMAN_449</t>
  </si>
  <si>
    <t>&gt;C1S_HUMAN_344</t>
  </si>
  <si>
    <t>Hydroxylysine:0.28</t>
  </si>
  <si>
    <t>&gt;PROS_BOVIN_509</t>
  </si>
  <si>
    <t>&gt;CO4A1_BOVIN_1530</t>
  </si>
  <si>
    <t>&gt;PROS_BOVIN_623</t>
  </si>
  <si>
    <t>&gt;NOTC1_MOUSE_871</t>
  </si>
  <si>
    <t>&gt;COEA1_HUMAN_1093</t>
  </si>
  <si>
    <t>&gt;CO5A2_HUMAN_1359</t>
  </si>
  <si>
    <t>&gt;COEA1_HUMAN_851</t>
  </si>
  <si>
    <t>&gt;PAM_TAXWC_623</t>
  </si>
  <si>
    <t>&gt;ENAM_PIG_1112</t>
  </si>
  <si>
    <t>&gt;CE192_HUMAN_2268</t>
  </si>
  <si>
    <t>&gt;CO5A1_HUMAN_39</t>
  </si>
  <si>
    <t>&gt;COEA1_HUMAN_389</t>
  </si>
  <si>
    <t>&gt;LANN_STRMG_29</t>
  </si>
  <si>
    <t>&gt;NOTC1_HUMAN_459</t>
  </si>
  <si>
    <t>&gt;SKP1A_DICDI_40</t>
  </si>
  <si>
    <t>&gt;HIF1A_HUMAN_658</t>
  </si>
  <si>
    <t>&gt;HIF1A_HUMAN_432</t>
  </si>
  <si>
    <t>&gt;CO6A3_HUMAN_1426</t>
  </si>
  <si>
    <t>&gt;ENAM_PIG_40</t>
  </si>
  <si>
    <t>&gt;CO1A1_MOUSE_160</t>
  </si>
  <si>
    <t>&gt;AGP31_ARATH_50</t>
  </si>
  <si>
    <t>&gt;ANK1_HUMAN_1441</t>
  </si>
  <si>
    <t>&gt;TDIF_ZINVI_77</t>
  </si>
  <si>
    <t>&gt;CO1A1_BOVIN_1385</t>
  </si>
  <si>
    <t>&gt;CE192_HUMAN_57</t>
  </si>
  <si>
    <t>&gt;COEA1_HUMAN_855</t>
  </si>
  <si>
    <t>&gt;FA9_HUMAN_315</t>
  </si>
  <si>
    <t>&gt;NOTC1_HUMAN_1289</t>
  </si>
  <si>
    <t>&gt;KPYM_HUMAN_449</t>
  </si>
  <si>
    <t>&gt;AGO2_HUMAN_326</t>
  </si>
  <si>
    <t>Hydroxylysine:0.099</t>
  </si>
  <si>
    <t>&gt;CO7A1_HUMAN_745</t>
  </si>
  <si>
    <t>&gt;FA7_HUMAN_277</t>
  </si>
  <si>
    <t>&gt;C1S_HUMAN_89</t>
  </si>
  <si>
    <t>&gt;HIF3A_HUMAN_229</t>
  </si>
  <si>
    <t>&gt;ANK1_MOUSE_324</t>
  </si>
  <si>
    <t>&gt;U2AF2_HUMAN_85</t>
  </si>
  <si>
    <t>&gt;PERC_AEDAE_645</t>
  </si>
  <si>
    <t>&gt;CO6A3_HUMAN_2763</t>
  </si>
  <si>
    <t>&gt;CO1A2_BOVIN_1190</t>
  </si>
  <si>
    <t>&gt;LANA_STRMG_22</t>
  </si>
  <si>
    <t>&gt;CO6A3_HUMAN_2388</t>
  </si>
  <si>
    <t>&gt;CO5A1_HUMAN_314</t>
  </si>
  <si>
    <t>&gt;PAL1_PETCR_67</t>
  </si>
  <si>
    <t>&gt;NOTC1_HUMAN_791</t>
  </si>
  <si>
    <t>&gt;CO5A1_HUMAN_1635</t>
  </si>
  <si>
    <t>&gt;LC7L2_HUMAN_245</t>
  </si>
  <si>
    <t>&gt;C1S_HUMAN_349</t>
  </si>
  <si>
    <t>Hydroxylysine:0.141</t>
  </si>
  <si>
    <t>&gt;ANK1_HUMAN_1791</t>
  </si>
  <si>
    <t>&gt;TALY_RHOS4_92</t>
  </si>
  <si>
    <t>&gt;CO5A2_HUMAN_1479</t>
  </si>
  <si>
    <t>&gt;CO7A1_HUMAN_1246</t>
  </si>
  <si>
    <t>&gt;NOTC1_HUMAN_798</t>
  </si>
  <si>
    <t>&gt;CO6A3_HUMAN_357</t>
  </si>
  <si>
    <t>&gt;AGO2_HUMAN_743</t>
  </si>
  <si>
    <t>&gt;CHI1_TOBAC_244</t>
  </si>
  <si>
    <t>&gt;CO2A1_BOVIN_1279</t>
  </si>
  <si>
    <t>&gt;CO1A1_BOVIN_57</t>
  </si>
  <si>
    <t>&gt;ENAM_PIG_96</t>
  </si>
  <si>
    <t>&gt;CO7A1_HUMAN_1046</t>
  </si>
  <si>
    <t>&gt;PROS_BOVIN_579</t>
  </si>
  <si>
    <t>&gt;NOTC1_HUMAN_2396</t>
  </si>
  <si>
    <t>&gt;PAL1_PETCR_270</t>
  </si>
  <si>
    <t>&gt;HIF3A_HUMAN_607</t>
  </si>
  <si>
    <t>&gt;ENAM_PIG_925</t>
  </si>
  <si>
    <t>&gt;PAM_TAXWC_310</t>
  </si>
  <si>
    <t>&gt;C1QA_HUMAN_156</t>
  </si>
  <si>
    <t>&gt;COEA1_HUMAN_1296</t>
  </si>
  <si>
    <t>&gt;CE192_HUMAN_731</t>
  </si>
  <si>
    <t>Hydroxylysine:0.268</t>
  </si>
  <si>
    <t>&gt;PROC_BOVIN_205</t>
  </si>
  <si>
    <t>&gt;CO6A3_HUMAN_909</t>
  </si>
  <si>
    <t>Hydroxylysine:0.096</t>
  </si>
  <si>
    <t>&gt;EPAS1_MOUSE_89</t>
  </si>
  <si>
    <t>&gt;CO7A1_HUMAN_1952</t>
  </si>
  <si>
    <t>&gt;COEA1_HUMAN_91</t>
  </si>
  <si>
    <t>&gt;CO7A1_HUMAN_113</t>
  </si>
  <si>
    <t>&gt;CO5A1_HUMAN_1797</t>
  </si>
  <si>
    <t>&gt;PROS_BOVIN_235</t>
  </si>
  <si>
    <t>&gt;HIF1_CAEEL_521</t>
  </si>
  <si>
    <t>&gt;ARRB2_HUMAN_363</t>
  </si>
  <si>
    <t>&gt;CO1A1_BOVIN_1317</t>
  </si>
  <si>
    <t>&gt;ENAM_PIG_568</t>
  </si>
  <si>
    <t>&gt;ADIPO_HUMAN_169</t>
  </si>
  <si>
    <t>Hydroxylysine:0.011</t>
  </si>
  <si>
    <t>&gt;CE192_HUMAN_1572</t>
  </si>
  <si>
    <t>&gt;CO7A1_HUMAN_2931</t>
  </si>
  <si>
    <t>&gt;CO1A1_MOUSE_1427</t>
  </si>
  <si>
    <t>&gt;PAL_NOSP7_187</t>
  </si>
  <si>
    <t>&gt;HUTH_PSEPU_65</t>
  </si>
  <si>
    <t>&gt;KPYM_HUMAN_338</t>
  </si>
  <si>
    <t>&gt;FA9_HUMAN_378</t>
  </si>
  <si>
    <t>&gt;NOTC1_MOUSE_976</t>
  </si>
  <si>
    <t>&gt;NFKB1_HUMAN_662</t>
  </si>
  <si>
    <t>&gt;HIF1A_HUMAN_445</t>
  </si>
  <si>
    <t>&gt;MRSA_BACSY_19</t>
  </si>
  <si>
    <t>&gt;TELO2_HUMAN_653</t>
  </si>
  <si>
    <t>&gt;CO6A3_HUMAN_551</t>
  </si>
  <si>
    <t>Hydroxylysine:0.197</t>
  </si>
  <si>
    <t>&gt;CO6A3_HUMAN_1189</t>
  </si>
  <si>
    <t>&gt;PROS_BOVIN_157</t>
  </si>
  <si>
    <t>&gt;NOTC1_MOUSE_1327</t>
  </si>
  <si>
    <t>&gt;ARRB2_HUMAN_265</t>
  </si>
  <si>
    <t>&gt;HIF1_CAEEL_656</t>
  </si>
  <si>
    <t>&gt;CINA_STRGV_41</t>
  </si>
  <si>
    <t>&gt;PROC_BOVIN_298</t>
  </si>
  <si>
    <t>&gt;CO5A2_HUMAN_1249</t>
  </si>
  <si>
    <t>&gt;SFTPD_RAT_249</t>
  </si>
  <si>
    <t>&gt;PROS_BOVIN_478</t>
  </si>
  <si>
    <t>&gt;AGP31_ARATH_327</t>
  </si>
  <si>
    <t>&gt;PROS_BOVIN_598</t>
  </si>
  <si>
    <t>&gt;PALY_RHOTO_108</t>
  </si>
  <si>
    <t>&gt;CO6A3_HUMAN_166</t>
  </si>
  <si>
    <t>&gt;HIF1_CAEEL_386</t>
  </si>
  <si>
    <t>&gt;AGO2_HUMAN_191</t>
  </si>
  <si>
    <t>&gt;CO6A3_HUMAN_2397</t>
  </si>
  <si>
    <t>&gt;HIF1A_HUMAN_702</t>
  </si>
  <si>
    <t>&gt;AGO2_HUMAN_415</t>
  </si>
  <si>
    <t>&gt;CO7A1_HUMAN_463</t>
  </si>
  <si>
    <t>&gt;PROC_HUMAN_200</t>
  </si>
  <si>
    <t>&gt;AGO2_HUMAN_622</t>
  </si>
  <si>
    <t>&gt;CO6A3_HUMAN_1281</t>
  </si>
  <si>
    <t>&gt;CO1A2_BOVIN_1138</t>
  </si>
  <si>
    <t>Hydroxylysine:0.016</t>
  </si>
  <si>
    <t>&gt;CO6A3_HUMAN_3006</t>
  </si>
  <si>
    <t>&gt;CO7A1_HUMAN_944</t>
  </si>
  <si>
    <t>&gt;ENAM_PIG_387</t>
  </si>
  <si>
    <t>&gt;CO6A3_HUMAN_2990</t>
  </si>
  <si>
    <t>&gt;CE192_HUMAN_172</t>
  </si>
  <si>
    <t>&gt;ENAM_PIG_145</t>
  </si>
  <si>
    <t>&gt;PALY_RHOTO_618</t>
  </si>
  <si>
    <t>&gt;PALY_RHOTO_87</t>
  </si>
  <si>
    <t>&gt;CO6A3_HUMAN_853</t>
  </si>
  <si>
    <t>&gt;LC7L2_HUMAN_29</t>
  </si>
  <si>
    <t>&gt;CO2A1_BOVIN_78</t>
  </si>
  <si>
    <t>&gt;UMEC_ARMRU_69</t>
  </si>
  <si>
    <t>&gt;CO6A3_HUMAN_2846</t>
  </si>
  <si>
    <t>&gt;KPYM_HUMAN_471</t>
  </si>
  <si>
    <t>&gt;KPYM_HUMAN_477</t>
  </si>
  <si>
    <t>&gt;NFKB1_HUMAN_789</t>
  </si>
  <si>
    <t>&gt;FA9_BOVIN_213</t>
  </si>
  <si>
    <t>&gt;NOTC1_MOUSE_463</t>
  </si>
  <si>
    <t>&gt;FIBA_HUMAN_472</t>
  </si>
  <si>
    <t>&gt;EPAS1_MOUSE_184</t>
  </si>
  <si>
    <t>&gt;ANK1_MOUSE_1194</t>
  </si>
  <si>
    <t>&gt;CO1A1_HUMAN_1208</t>
  </si>
  <si>
    <t>&gt;PROC_HUMAN_322</t>
  </si>
  <si>
    <t>&gt;ENAM_PIG_403</t>
  </si>
  <si>
    <t>&gt;FA10_HUMAN_418</t>
  </si>
  <si>
    <t>&gt;COEA1_HUMAN_685</t>
  </si>
  <si>
    <t>&gt;CO1A1_BOVIN_1203</t>
  </si>
  <si>
    <t>&gt;CO6A3_HUMAN_930</t>
  </si>
  <si>
    <t>Hydroxylysine:0.133</t>
  </si>
  <si>
    <t>&gt;NOTC1_HUMAN_2053</t>
  </si>
  <si>
    <t>&gt;C1S_HUMAN_395</t>
  </si>
  <si>
    <t>&gt;ENAM_PIG_877</t>
  </si>
  <si>
    <t>&gt;SFTPD_RAT_290</t>
  </si>
  <si>
    <t>&gt;COW_CONRA_40</t>
  </si>
  <si>
    <t>&gt;CO1A2_BOVIN_1150</t>
  </si>
  <si>
    <t>&gt;FA10_HUMAN_386</t>
  </si>
  <si>
    <t>&gt;CO7A1_HUMAN_891</t>
  </si>
  <si>
    <t>&gt;CM3A_CONGE_27</t>
  </si>
  <si>
    <t>&gt;CT1A_CONMR_18</t>
  </si>
  <si>
    <t>&gt;COEA1_HUMAN_871</t>
  </si>
  <si>
    <t>&gt;CO7A1_HUMAN_902</t>
  </si>
  <si>
    <t>&gt;CE192_HUMAN_2372</t>
  </si>
  <si>
    <t>&gt;PROC_BOVIN_321</t>
  </si>
  <si>
    <t>&gt;COEA1_HUMAN_395</t>
  </si>
  <si>
    <t>&gt;ENAM_PIG_696</t>
  </si>
  <si>
    <t>&gt;PROS_BOVIN_651</t>
  </si>
  <si>
    <t>&gt;LC7L2_HUMAN_367</t>
  </si>
  <si>
    <t>&gt;HUTH_PSEPU_79</t>
  </si>
  <si>
    <t>&gt;FA9_BOVIN_131</t>
  </si>
  <si>
    <t>&gt;PALY_RHOTO_656</t>
  </si>
  <si>
    <t>&gt;ENAM_PIG_233</t>
  </si>
  <si>
    <t>&gt;EFP_ECOLI_105</t>
  </si>
  <si>
    <t>&gt;LC7L2_HUMAN_332</t>
  </si>
  <si>
    <t>&gt;CO5A1_HUMAN_283</t>
  </si>
  <si>
    <t>&gt;ANK1_MOUSE_1435</t>
  </si>
  <si>
    <t>&gt;CO7A1_HUMAN_1242</t>
  </si>
  <si>
    <t>&gt;PAL1_PETCR_512</t>
  </si>
  <si>
    <t>&gt;PROS_BOVIN_592</t>
  </si>
  <si>
    <t>&gt;TELO2_HUMAN_401</t>
  </si>
  <si>
    <t>&gt;CO5A1_HUMAN_184</t>
  </si>
  <si>
    <t>&gt;PROS_BOVIN_569</t>
  </si>
  <si>
    <t>&gt;HUTH_PSEPU_459</t>
  </si>
  <si>
    <t>Hydroxylysine:0.199</t>
  </si>
  <si>
    <t>Hydroxylysine:0.252</t>
  </si>
  <si>
    <t>Hydroxylysine:0.151</t>
  </si>
  <si>
    <t>Hydroxylysine:0.243</t>
  </si>
  <si>
    <t>&gt;C1R_HUMAN_622</t>
  </si>
  <si>
    <t>&gt;ENAM_PIG_400</t>
  </si>
  <si>
    <t>&gt;AMBN_PIG_228</t>
  </si>
  <si>
    <t>&gt;C1QA_HUMAN_219</t>
  </si>
  <si>
    <t>&gt;HIF3A_HUMAN_515</t>
  </si>
  <si>
    <t>&gt;AMBN_PIG_409</t>
  </si>
  <si>
    <t>&gt;FA10_HUMAN_322</t>
  </si>
  <si>
    <t>&gt;NOTC1_MOUSE_2238</t>
  </si>
  <si>
    <t>&gt;ADIPO_HUMAN_126</t>
  </si>
  <si>
    <t>&gt;ADIPO_BOVIN_172</t>
  </si>
  <si>
    <t>&gt;PALY_RHOTO_58</t>
  </si>
  <si>
    <t>&gt;CE192_HUMAN_2142</t>
  </si>
  <si>
    <t>&gt;CO1A1_CHICK_1311</t>
  </si>
  <si>
    <t>&gt;HIF1A_HUMAN_439</t>
  </si>
  <si>
    <t>&gt;HUTH_PSEPU_70</t>
  </si>
  <si>
    <t>&gt;KNG1_HUMAN_580</t>
  </si>
  <si>
    <t>&gt;PROS_BOVIN_119</t>
  </si>
  <si>
    <t>&gt;CO1A1_CHICK_43</t>
  </si>
  <si>
    <t>&gt;CO1A1_MOUSE_1305</t>
  </si>
  <si>
    <t>&gt;HIF1A_HUMAN_447</t>
  </si>
  <si>
    <t>&gt;CM3C_CONTE_27</t>
  </si>
  <si>
    <t>&gt;PAL_NOSP7_505</t>
  </si>
  <si>
    <t>&gt;FA10_BOVIN_213</t>
  </si>
  <si>
    <t>&gt;COEA1_HUMAN_800</t>
  </si>
  <si>
    <t>&gt;LTBP1_HUMAN_1317</t>
  </si>
  <si>
    <t>&gt;KNG1_HUMAN_615</t>
  </si>
  <si>
    <t>&gt;FA9_BOVIN_339</t>
  </si>
  <si>
    <t>&gt;PROC_HUMAN_24</t>
  </si>
  <si>
    <t>&gt;ANK1_MOUSE_1469</t>
  </si>
  <si>
    <t>&gt;CO6A3_HUMAN_2393</t>
  </si>
  <si>
    <t>&gt;CM3D_CONMR_45</t>
  </si>
  <si>
    <t>&gt;C1R_HUMAN_456</t>
  </si>
  <si>
    <t>&gt;CONG_BOVIN_321</t>
  </si>
  <si>
    <t>&gt;CO1A1_BOVIN_1304</t>
  </si>
  <si>
    <t>&gt;CO2A1_BOVIN_1334</t>
  </si>
  <si>
    <t>&gt;TNKS2_HUMAN_1025</t>
  </si>
  <si>
    <t>&gt;CO2A1_BOVIN_1342</t>
  </si>
  <si>
    <t>&gt;ASB4_MOUSE_28</t>
  </si>
  <si>
    <t>&gt;PROC_HUMAN_171</t>
  </si>
  <si>
    <t>Hydroxylysine:0.075</t>
  </si>
  <si>
    <t>&gt;MYPT1_HUMAN_611</t>
  </si>
  <si>
    <t>&gt;PALY_RHOTO_614</t>
  </si>
  <si>
    <t>&gt;EPAS1_MOUSE_387</t>
  </si>
  <si>
    <t>&gt;CO1A1_CHICK_1291</t>
  </si>
  <si>
    <t>&gt;TDIF_ZINVI_40</t>
  </si>
  <si>
    <t>&gt;CO7A1_HUMAN_151</t>
  </si>
  <si>
    <t>&gt;PAL1_PETCR_643</t>
  </si>
  <si>
    <t>&gt;PALY_RHOTO_504</t>
  </si>
  <si>
    <t>&gt;CO1A1_CHICK_1334</t>
  </si>
  <si>
    <t>&gt;PALY_RHOTO_567</t>
  </si>
  <si>
    <t>&gt;PROS_BOVIN_632</t>
  </si>
  <si>
    <t>&gt;PROZ_BOVIN_226</t>
  </si>
  <si>
    <t>&gt;COEA1_HUMAN_557</t>
  </si>
  <si>
    <t>&gt;COEA1_HUMAN_141</t>
  </si>
  <si>
    <t>&gt;CO5A1_HUMAN_1700</t>
  </si>
  <si>
    <t>&gt;CO6A3_HUMAN_503</t>
  </si>
  <si>
    <t>&gt;CO2A1_BOVIN_51</t>
  </si>
  <si>
    <t>&gt;NOTC1_HUMAN_268</t>
  </si>
  <si>
    <t>&gt;BRKP1_AGACL_49</t>
  </si>
  <si>
    <t>&gt;CXY17_CONCB_16</t>
  </si>
  <si>
    <t>&gt;HIF3A_HUMAN_266</t>
  </si>
  <si>
    <t>&gt;HIF1A_HUMAN_644</t>
  </si>
  <si>
    <t>Hydroxylysine:0.183</t>
  </si>
  <si>
    <t>&gt;FA7_HUMAN_369</t>
  </si>
  <si>
    <t>&gt;FA10_HUMAN_132</t>
  </si>
  <si>
    <t>&gt;PROC_BOVIN_213</t>
  </si>
  <si>
    <t>&gt;CO1A1_CHICK_1244</t>
  </si>
  <si>
    <t>&gt;RS23_HUMAN_86</t>
  </si>
  <si>
    <t>Hydroxylysine:0.144</t>
  </si>
  <si>
    <t>&gt;SFTPD_RAT_272</t>
  </si>
  <si>
    <t>&gt;SKP1A_DICDI_42</t>
  </si>
  <si>
    <t>&gt;ANK1_HUMAN_218</t>
  </si>
  <si>
    <t>&gt;CA4A_CONMA_23</t>
  </si>
  <si>
    <t>&gt;CO6A3_HUMAN_271</t>
  </si>
  <si>
    <t>&gt;CO1A1_MOUSE_39</t>
  </si>
  <si>
    <t>&gt;ANK1_HUMAN_1098</t>
  </si>
  <si>
    <t>&gt;PERC_AEDAE_709</t>
  </si>
  <si>
    <t>Hydroxylysine:0.225</t>
  </si>
  <si>
    <t>&gt;FA10_BOVIN_407</t>
  </si>
  <si>
    <t>&gt;UMEC_ARMRU_17</t>
  </si>
  <si>
    <t>&gt;ENAM_PIG_531</t>
  </si>
  <si>
    <t>&gt;TALY_RHOS4_27</t>
  </si>
  <si>
    <t>&gt;CO7A1_HUMAN_978</t>
  </si>
  <si>
    <t>&gt;TELO2_HUMAN_646</t>
  </si>
  <si>
    <t>&gt;PROS_BOVIN_105</t>
  </si>
  <si>
    <t>&gt;PROS_BOVIN_294</t>
  </si>
  <si>
    <t>&gt;CONG_BOVIN_266</t>
  </si>
  <si>
    <t>&gt;PAL_ANAVT_357</t>
  </si>
  <si>
    <t>&gt;TNKS2_HUMAN_146</t>
  </si>
  <si>
    <t>&gt;LANPA_PAEPO_17</t>
  </si>
  <si>
    <t>&gt;LANN_STRMG_26</t>
  </si>
  <si>
    <t>&gt;FA9_HUMAN_150</t>
  </si>
  <si>
    <t>&gt;PAM_TAXWC_234</t>
  </si>
  <si>
    <t>&gt;CO6A3_HUMAN_1498</t>
  </si>
  <si>
    <t>&gt;CE192_HUMAN_2282</t>
  </si>
  <si>
    <t>&gt;ENAM_PIG_809</t>
  </si>
  <si>
    <t>&gt;AMBN_PIG_138</t>
  </si>
  <si>
    <t>&gt;TNKS2_HUMAN_1037</t>
  </si>
  <si>
    <t>Hydroxylysine:0.265</t>
  </si>
  <si>
    <t>&gt;C1R_HUMAN_260</t>
  </si>
  <si>
    <t>&gt;ADRB2_HUMAN_211</t>
  </si>
  <si>
    <t>&gt;ARRB2_HUMAN_349</t>
  </si>
  <si>
    <t>&gt;COEA1_HUMAN_1106</t>
  </si>
  <si>
    <t>Hydroxylysine:0.2</t>
  </si>
  <si>
    <t>&gt;C1QA_HUMAN_124</t>
  </si>
  <si>
    <t>&gt;CO1A1_RAT_1375</t>
  </si>
  <si>
    <t>&gt;PROC_HUMAN_90</t>
  </si>
  <si>
    <t>&gt;C1S_HUMAN_260</t>
  </si>
  <si>
    <t>&gt;ENAM_PIG_724</t>
  </si>
  <si>
    <t>&gt;MYPT1_HUMAN_186</t>
  </si>
  <si>
    <t>&gt;PROS_BOVIN_245</t>
  </si>
  <si>
    <t>&gt;CO6A3_HUMAN_1449</t>
  </si>
  <si>
    <t>&gt;CO5A1_HUMAN_1780</t>
  </si>
  <si>
    <t>&gt;CO1A1_HUMAN_1321</t>
  </si>
  <si>
    <t>&gt;IKKB_HUMAN_701</t>
  </si>
  <si>
    <t>&gt;FA7_HUMAN_394</t>
  </si>
  <si>
    <t>&gt;CM3A_CONGE_16</t>
  </si>
  <si>
    <t>&gt;COEA1_HUMAN_1448</t>
  </si>
  <si>
    <t>&gt;HIF1A_HUMAN_138</t>
  </si>
  <si>
    <t>&gt;PAM_TAXWC_642</t>
  </si>
  <si>
    <t>&gt;SFTPD_RAT_23</t>
  </si>
  <si>
    <t>&gt;KNG1_HUMAN_627</t>
  </si>
  <si>
    <t>&gt;COAA1_CHICK_578</t>
  </si>
  <si>
    <t>&gt;C1R_HUMAN_636</t>
  </si>
  <si>
    <t>&gt;COEA1_HUMAN_66</t>
  </si>
  <si>
    <t>&gt;CM3_CONTE_16</t>
  </si>
  <si>
    <t>&gt;ANK1_HUMAN_198</t>
  </si>
  <si>
    <t>&gt;CE192_HUMAN_1051</t>
  </si>
  <si>
    <t>&gt;PALY_RHOTO_649</t>
  </si>
  <si>
    <t>&gt;LTBP1_HUMAN_424</t>
  </si>
  <si>
    <t>&gt;FCN3_HUMAN_112</t>
  </si>
  <si>
    <t>&gt;CO7A1_HUMAN_1088</t>
  </si>
  <si>
    <t>&gt;CO5A1_HUMAN_175</t>
  </si>
  <si>
    <t>&gt;CO6A3_HUMAN_1398</t>
  </si>
  <si>
    <t>&gt;MICA_CLAMM_27</t>
  </si>
  <si>
    <t>&gt;NOTC1_MOUSE_2040</t>
  </si>
  <si>
    <t>&gt;COEA1_HUMAN_660</t>
  </si>
  <si>
    <t>&gt;PAL_ANAVT_286</t>
  </si>
  <si>
    <t>&gt;CO2A1_BOVIN_1435</t>
  </si>
  <si>
    <t>&gt;COEA1_HUMAN_1081</t>
  </si>
  <si>
    <t>&gt;CO6A3_HUMAN_2682</t>
  </si>
  <si>
    <t>&gt;CO6A3_HUMAN_2472</t>
  </si>
  <si>
    <t>&gt;C1QB_HUMAN_11</t>
  </si>
  <si>
    <t>&gt;COEA1_HUMAN_960</t>
  </si>
  <si>
    <t>&gt;NOTC1_HUMAN_490</t>
  </si>
  <si>
    <t>&gt;HIF1_CAEEL_690</t>
  </si>
  <si>
    <t>&gt;AGP31_ARATH_52</t>
  </si>
  <si>
    <t>&gt;SFTPD_RAT_362</t>
  </si>
  <si>
    <t>&gt;ARRB2_HUMAN_46</t>
  </si>
  <si>
    <t>&gt;PROC_HUMAN_77</t>
  </si>
  <si>
    <t>&gt;CO1A1_BOVIN_1437</t>
  </si>
  <si>
    <t>&gt;CO6A3_HUMAN_573</t>
  </si>
  <si>
    <t>&gt;KNG1_HUMAN_148</t>
  </si>
  <si>
    <t>&gt;EPAS1_MOUSE_288</t>
  </si>
  <si>
    <t>&gt;HIF1_CAEEL_390</t>
  </si>
  <si>
    <t>&gt;MYPT1_HUMAN_540</t>
  </si>
  <si>
    <t>&gt;CLE2_ARATH_47</t>
  </si>
  <si>
    <t>&gt;HIF1A_HUMAN_669</t>
  </si>
  <si>
    <t>&gt;ENAM_PIG_88</t>
  </si>
  <si>
    <t>&gt;HIF1A_HUMAN_152</t>
  </si>
  <si>
    <t>Hydroxylysine:0.095</t>
  </si>
  <si>
    <t>&gt;CE192_HUMAN_1600</t>
  </si>
  <si>
    <t>&gt;CO6A3_HUMAN_1355</t>
  </si>
  <si>
    <t>&gt;ENAM_PIG_639</t>
  </si>
  <si>
    <t>MusiteDeep</t>
  </si>
  <si>
    <t>Tp</t>
  </si>
  <si>
    <t>FP</t>
  </si>
  <si>
    <t>TN</t>
  </si>
  <si>
    <t>FN</t>
  </si>
  <si>
    <t>SEN</t>
  </si>
  <si>
    <t>SPE</t>
  </si>
  <si>
    <t>ACC</t>
  </si>
  <si>
    <t>MCC</t>
  </si>
  <si>
    <t>precision</t>
  </si>
  <si>
    <t>recall</t>
  </si>
  <si>
    <t>f1-score</t>
  </si>
  <si>
    <t>Positive</t>
  </si>
  <si>
    <t>Negative</t>
  </si>
  <si>
    <t>Pred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</si>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</sst>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Fill="1" applyBorder="1"/>
    <xf numFmtId="164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5"/>
  <sheetViews>
    <sheetView tabSelected="1" workbookViewId="0">
      <selection activeCell="G17" sqref="G17"/>
    </sheetView>
  </sheetViews>
  <sheetFormatPr defaultRowHeight="14.6" x14ac:dyDescent="0.4"/>
  <cols>
    <col min="1" max="1" width="19.3828125" bestFit="1" customWidth="1"/>
    <col min="2" max="2" width="27.382812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2705</v>
      </c>
      <c r="H1" t="s">
        <v>2706</v>
      </c>
      <c r="I1" t="s">
        <v>2707</v>
      </c>
      <c r="J1" t="s">
        <v>2708</v>
      </c>
      <c r="K1" t="s">
        <v>2709</v>
      </c>
      <c r="L1" s="1" t="s">
        <v>2710</v>
      </c>
      <c r="M1" s="1" t="s">
        <v>2711</v>
      </c>
      <c r="N1" s="1" t="s">
        <v>2720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</row>
    <row r="2" spans="1:19" x14ac:dyDescent="0.4">
      <c r="A2" t="s">
        <v>3</v>
      </c>
      <c r="B2" t="s">
        <v>4</v>
      </c>
      <c r="C2">
        <v>1</v>
      </c>
      <c r="D2" t="e">
        <f>VLOOKUP(A2,'MusiteDeep-11'!$A$1:$F$124,6,0)</f>
        <v>#N/A</v>
      </c>
      <c r="G2" t="s">
        <v>2705</v>
      </c>
      <c r="H2">
        <f>COUNTIF($D$2:$D$255,1)</f>
        <v>26</v>
      </c>
      <c r="I2">
        <f>I5-J2</f>
        <v>494</v>
      </c>
      <c r="J2">
        <f>COUNTIF($D$256:$D$835,0)</f>
        <v>86</v>
      </c>
      <c r="K2">
        <f>I4-H2</f>
        <v>228</v>
      </c>
      <c r="L2" s="2">
        <f t="shared" ref="L2" si="0">H2/(H2+K2)</f>
        <v>0.10236220472440945</v>
      </c>
      <c r="M2" s="2">
        <f t="shared" ref="M2" si="1">J2/(J2+I2)</f>
        <v>0.14827586206896551</v>
      </c>
      <c r="N2" s="2">
        <f>(L2+M2)/2</f>
        <v>0.12531903339668748</v>
      </c>
      <c r="O2" s="2">
        <f t="shared" ref="O2" si="2">SUM(H2,J2)/SUM(H2:K2)</f>
        <v>0.1342925659472422</v>
      </c>
      <c r="P2" s="2">
        <f>((H2*J2)-(I2*K2))/SQRT((H2+I2)*(H2+K2)*(J2+I2)*(J2+K2))</f>
        <v>-0.71179672727167709</v>
      </c>
      <c r="Q2" s="2">
        <f>H2/(H2+I2)</f>
        <v>0.05</v>
      </c>
      <c r="R2" s="2">
        <f>H2/(H2+K2)</f>
        <v>0.10236220472440945</v>
      </c>
      <c r="S2" s="2">
        <f>2*(Q2*R2/(Q2+R2))</f>
        <v>6.7183462532299745E-2</v>
      </c>
    </row>
    <row r="3" spans="1:19" x14ac:dyDescent="0.4">
      <c r="A3" t="s">
        <v>5</v>
      </c>
      <c r="B3" t="s">
        <v>6</v>
      </c>
      <c r="C3">
        <v>1</v>
      </c>
      <c r="D3" t="e">
        <f>VLOOKUP(A3,'MusiteDeep-11'!$A$1:$F$124,6,0)</f>
        <v>#N/A</v>
      </c>
    </row>
    <row r="4" spans="1:19" x14ac:dyDescent="0.4">
      <c r="A4" t="s">
        <v>7</v>
      </c>
      <c r="B4" t="s">
        <v>8</v>
      </c>
      <c r="C4">
        <v>1</v>
      </c>
      <c r="D4" t="e">
        <f>VLOOKUP(A4,'MusiteDeep-11'!$A$1:$F$124,6,0)</f>
        <v>#N/A</v>
      </c>
      <c r="H4" t="s">
        <v>2717</v>
      </c>
      <c r="I4">
        <f>COUNTIF($C$2:$C$255,1)</f>
        <v>254</v>
      </c>
    </row>
    <row r="5" spans="1:19" x14ac:dyDescent="0.4">
      <c r="A5" t="s">
        <v>9</v>
      </c>
      <c r="B5" t="s">
        <v>10</v>
      </c>
      <c r="C5">
        <v>1</v>
      </c>
      <c r="D5" t="e">
        <f>VLOOKUP(A5,'MusiteDeep-11'!$A$1:$F$124,6,0)</f>
        <v>#N/A</v>
      </c>
      <c r="H5" t="s">
        <v>2718</v>
      </c>
      <c r="I5">
        <f>COUNTIF($C$256:$C$835,0)</f>
        <v>580</v>
      </c>
    </row>
    <row r="6" spans="1:19" x14ac:dyDescent="0.4">
      <c r="A6" t="s">
        <v>11</v>
      </c>
      <c r="B6" t="s">
        <v>12</v>
      </c>
      <c r="C6">
        <v>1</v>
      </c>
      <c r="D6">
        <f>VLOOKUP(A6,'MusiteDeep-11'!$A$1:$F$124,6,0)</f>
        <v>0</v>
      </c>
    </row>
    <row r="7" spans="1:19" x14ac:dyDescent="0.4">
      <c r="A7" t="s">
        <v>13</v>
      </c>
      <c r="B7" t="s">
        <v>14</v>
      </c>
      <c r="C7">
        <v>1</v>
      </c>
      <c r="D7" t="e">
        <f>VLOOKUP(A7,'MusiteDeep-11'!$A$1:$F$124,6,0)</f>
        <v>#N/A</v>
      </c>
    </row>
    <row r="8" spans="1:19" x14ac:dyDescent="0.4">
      <c r="A8" t="s">
        <v>15</v>
      </c>
      <c r="B8" t="s">
        <v>16</v>
      </c>
      <c r="C8">
        <v>1</v>
      </c>
      <c r="D8" t="e">
        <f>VLOOKUP(A8,'MusiteDeep-11'!$A$1:$F$124,6,0)</f>
        <v>#N/A</v>
      </c>
    </row>
    <row r="9" spans="1:19" x14ac:dyDescent="0.4">
      <c r="A9" t="s">
        <v>17</v>
      </c>
      <c r="B9" t="s">
        <v>18</v>
      </c>
      <c r="C9">
        <v>1</v>
      </c>
      <c r="D9" t="e">
        <f>VLOOKUP(A9,'MusiteDeep-11'!$A$1:$F$124,6,0)</f>
        <v>#N/A</v>
      </c>
    </row>
    <row r="10" spans="1:19" x14ac:dyDescent="0.4">
      <c r="A10" t="s">
        <v>19</v>
      </c>
      <c r="B10" t="s">
        <v>20</v>
      </c>
      <c r="C10">
        <v>1</v>
      </c>
      <c r="D10" t="e">
        <f>VLOOKUP(A10,'MusiteDeep-11'!$A$1:$F$124,6,0)</f>
        <v>#N/A</v>
      </c>
    </row>
    <row r="11" spans="1:19" x14ac:dyDescent="0.4">
      <c r="A11" t="s">
        <v>21</v>
      </c>
      <c r="B11" t="s">
        <v>22</v>
      </c>
      <c r="C11">
        <v>1</v>
      </c>
      <c r="D11" t="e">
        <f>VLOOKUP(A11,'MusiteDeep-11'!$A$1:$F$124,6,0)</f>
        <v>#N/A</v>
      </c>
    </row>
    <row r="12" spans="1:19" x14ac:dyDescent="0.4">
      <c r="A12" t="s">
        <v>23</v>
      </c>
      <c r="B12" t="s">
        <v>24</v>
      </c>
      <c r="C12">
        <v>1</v>
      </c>
      <c r="D12" t="e">
        <f>VLOOKUP(A12,'MusiteDeep-11'!$A$1:$F$124,6,0)</f>
        <v>#N/A</v>
      </c>
    </row>
    <row r="13" spans="1:19" x14ac:dyDescent="0.4">
      <c r="A13" t="s">
        <v>25</v>
      </c>
      <c r="B13" t="s">
        <v>26</v>
      </c>
      <c r="C13">
        <v>1</v>
      </c>
      <c r="D13" t="e">
        <f>VLOOKUP(A13,'MusiteDeep-11'!$A$1:$F$124,6,0)</f>
        <v>#N/A</v>
      </c>
    </row>
    <row r="14" spans="1:19" x14ac:dyDescent="0.4">
      <c r="A14" t="s">
        <v>27</v>
      </c>
      <c r="B14" t="s">
        <v>28</v>
      </c>
      <c r="C14">
        <v>1</v>
      </c>
      <c r="D14" t="e">
        <f>VLOOKUP(A14,'MusiteDeep-11'!$A$1:$F$124,6,0)</f>
        <v>#N/A</v>
      </c>
    </row>
    <row r="15" spans="1:19" x14ac:dyDescent="0.4">
      <c r="A15" t="s">
        <v>29</v>
      </c>
      <c r="B15" t="s">
        <v>30</v>
      </c>
      <c r="C15">
        <v>1</v>
      </c>
      <c r="D15" t="e">
        <f>VLOOKUP(A15,'MusiteDeep-11'!$A$1:$F$124,6,0)</f>
        <v>#N/A</v>
      </c>
    </row>
    <row r="16" spans="1:19" x14ac:dyDescent="0.4">
      <c r="A16" t="s">
        <v>31</v>
      </c>
      <c r="B16" t="s">
        <v>32</v>
      </c>
      <c r="C16">
        <v>1</v>
      </c>
      <c r="D16" t="e">
        <f>VLOOKUP(A16,'MusiteDeep-11'!$A$1:$F$124,6,0)</f>
        <v>#N/A</v>
      </c>
    </row>
    <row r="17" spans="1:4" x14ac:dyDescent="0.4">
      <c r="A17" t="s">
        <v>33</v>
      </c>
      <c r="B17" t="s">
        <v>34</v>
      </c>
      <c r="C17">
        <v>1</v>
      </c>
      <c r="D17" t="e">
        <f>VLOOKUP(A17,'MusiteDeep-11'!$A$1:$F$124,6,0)</f>
        <v>#N/A</v>
      </c>
    </row>
    <row r="18" spans="1:4" x14ac:dyDescent="0.4">
      <c r="A18" t="s">
        <v>35</v>
      </c>
      <c r="B18" t="s">
        <v>36</v>
      </c>
      <c r="C18">
        <v>1</v>
      </c>
      <c r="D18" t="e">
        <f>VLOOKUP(A18,'MusiteDeep-11'!$A$1:$F$124,6,0)</f>
        <v>#N/A</v>
      </c>
    </row>
    <row r="19" spans="1:4" x14ac:dyDescent="0.4">
      <c r="A19" t="s">
        <v>37</v>
      </c>
      <c r="B19" t="s">
        <v>38</v>
      </c>
      <c r="C19">
        <v>1</v>
      </c>
      <c r="D19" t="e">
        <f>VLOOKUP(A19,'MusiteDeep-11'!$A$1:$F$124,6,0)</f>
        <v>#N/A</v>
      </c>
    </row>
    <row r="20" spans="1:4" x14ac:dyDescent="0.4">
      <c r="A20" t="s">
        <v>39</v>
      </c>
      <c r="B20" t="s">
        <v>40</v>
      </c>
      <c r="C20">
        <v>1</v>
      </c>
      <c r="D20" t="e">
        <f>VLOOKUP(A20,'MusiteDeep-11'!$A$1:$F$124,6,0)</f>
        <v>#N/A</v>
      </c>
    </row>
    <row r="21" spans="1:4" x14ac:dyDescent="0.4">
      <c r="A21" t="s">
        <v>41</v>
      </c>
      <c r="B21" t="s">
        <v>42</v>
      </c>
      <c r="C21">
        <v>1</v>
      </c>
      <c r="D21" t="e">
        <f>VLOOKUP(A21,'MusiteDeep-11'!$A$1:$F$124,6,0)</f>
        <v>#N/A</v>
      </c>
    </row>
    <row r="22" spans="1:4" x14ac:dyDescent="0.4">
      <c r="A22" t="s">
        <v>43</v>
      </c>
      <c r="B22" t="s">
        <v>44</v>
      </c>
      <c r="C22">
        <v>1</v>
      </c>
      <c r="D22" t="e">
        <f>VLOOKUP(A22,'MusiteDeep-11'!$A$1:$F$124,6,0)</f>
        <v>#N/A</v>
      </c>
    </row>
    <row r="23" spans="1:4" x14ac:dyDescent="0.4">
      <c r="A23" t="s">
        <v>45</v>
      </c>
      <c r="B23" t="s">
        <v>46</v>
      </c>
      <c r="C23">
        <v>1</v>
      </c>
      <c r="D23" t="e">
        <f>VLOOKUP(A23,'MusiteDeep-11'!$A$1:$F$124,6,0)</f>
        <v>#N/A</v>
      </c>
    </row>
    <row r="24" spans="1:4" x14ac:dyDescent="0.4">
      <c r="A24" t="s">
        <v>47</v>
      </c>
      <c r="B24" t="s">
        <v>48</v>
      </c>
      <c r="C24">
        <v>1</v>
      </c>
      <c r="D24" t="e">
        <f>VLOOKUP(A24,'MusiteDeep-11'!$A$1:$F$124,6,0)</f>
        <v>#N/A</v>
      </c>
    </row>
    <row r="25" spans="1:4" x14ac:dyDescent="0.4">
      <c r="A25" t="s">
        <v>49</v>
      </c>
      <c r="B25" t="s">
        <v>50</v>
      </c>
      <c r="C25">
        <v>1</v>
      </c>
      <c r="D25" t="e">
        <f>VLOOKUP(A25,'MusiteDeep-11'!$A$1:$F$124,6,0)</f>
        <v>#N/A</v>
      </c>
    </row>
    <row r="26" spans="1:4" x14ac:dyDescent="0.4">
      <c r="A26" t="s">
        <v>51</v>
      </c>
      <c r="B26" t="s">
        <v>52</v>
      </c>
      <c r="C26">
        <v>1</v>
      </c>
      <c r="D26" t="e">
        <f>VLOOKUP(A26,'MusiteDeep-11'!$A$1:$F$124,6,0)</f>
        <v>#N/A</v>
      </c>
    </row>
    <row r="27" spans="1:4" x14ac:dyDescent="0.4">
      <c r="A27" t="s">
        <v>53</v>
      </c>
      <c r="B27" t="s">
        <v>54</v>
      </c>
      <c r="C27">
        <v>1</v>
      </c>
      <c r="D27" t="e">
        <f>VLOOKUP(A27,'MusiteDeep-11'!$A$1:$F$124,6,0)</f>
        <v>#N/A</v>
      </c>
    </row>
    <row r="28" spans="1:4" x14ac:dyDescent="0.4">
      <c r="A28" t="s">
        <v>55</v>
      </c>
      <c r="B28" t="s">
        <v>56</v>
      </c>
      <c r="C28">
        <v>1</v>
      </c>
      <c r="D28" t="e">
        <f>VLOOKUP(A28,'MusiteDeep-11'!$A$1:$F$124,6,0)</f>
        <v>#N/A</v>
      </c>
    </row>
    <row r="29" spans="1:4" x14ac:dyDescent="0.4">
      <c r="A29" t="s">
        <v>57</v>
      </c>
      <c r="B29" t="s">
        <v>58</v>
      </c>
      <c r="C29">
        <v>1</v>
      </c>
      <c r="D29" t="e">
        <f>VLOOKUP(A29,'MusiteDeep-11'!$A$1:$F$124,6,0)</f>
        <v>#N/A</v>
      </c>
    </row>
    <row r="30" spans="1:4" x14ac:dyDescent="0.4">
      <c r="A30" t="s">
        <v>59</v>
      </c>
      <c r="B30" t="s">
        <v>60</v>
      </c>
      <c r="C30">
        <v>1</v>
      </c>
      <c r="D30" t="e">
        <f>VLOOKUP(A30,'MusiteDeep-11'!$A$1:$F$124,6,0)</f>
        <v>#N/A</v>
      </c>
    </row>
    <row r="31" spans="1:4" x14ac:dyDescent="0.4">
      <c r="A31" t="s">
        <v>61</v>
      </c>
      <c r="B31" t="s">
        <v>62</v>
      </c>
      <c r="C31">
        <v>1</v>
      </c>
      <c r="D31" t="e">
        <f>VLOOKUP(A31,'MusiteDeep-11'!$A$1:$F$124,6,0)</f>
        <v>#N/A</v>
      </c>
    </row>
    <row r="32" spans="1:4" x14ac:dyDescent="0.4">
      <c r="A32" t="s">
        <v>63</v>
      </c>
      <c r="B32" t="s">
        <v>64</v>
      </c>
      <c r="C32">
        <v>1</v>
      </c>
      <c r="D32" t="e">
        <f>VLOOKUP(A32,'MusiteDeep-11'!$A$1:$F$124,6,0)</f>
        <v>#N/A</v>
      </c>
    </row>
    <row r="33" spans="1:4" x14ac:dyDescent="0.4">
      <c r="A33" t="s">
        <v>65</v>
      </c>
      <c r="B33" t="s">
        <v>66</v>
      </c>
      <c r="C33">
        <v>1</v>
      </c>
      <c r="D33" t="e">
        <f>VLOOKUP(A33,'MusiteDeep-11'!$A$1:$F$124,6,0)</f>
        <v>#N/A</v>
      </c>
    </row>
    <row r="34" spans="1:4" x14ac:dyDescent="0.4">
      <c r="A34" t="s">
        <v>67</v>
      </c>
      <c r="B34" t="s">
        <v>68</v>
      </c>
      <c r="C34">
        <v>1</v>
      </c>
      <c r="D34" t="e">
        <f>VLOOKUP(A34,'MusiteDeep-11'!$A$1:$F$124,6,0)</f>
        <v>#N/A</v>
      </c>
    </row>
    <row r="35" spans="1:4" x14ac:dyDescent="0.4">
      <c r="A35" t="s">
        <v>69</v>
      </c>
      <c r="B35" t="s">
        <v>70</v>
      </c>
      <c r="C35">
        <v>1</v>
      </c>
      <c r="D35" t="e">
        <f>VLOOKUP(A35,'MusiteDeep-11'!$A$1:$F$124,6,0)</f>
        <v>#N/A</v>
      </c>
    </row>
    <row r="36" spans="1:4" x14ac:dyDescent="0.4">
      <c r="A36" t="s">
        <v>71</v>
      </c>
      <c r="B36" t="s">
        <v>72</v>
      </c>
      <c r="C36">
        <v>1</v>
      </c>
      <c r="D36" t="e">
        <f>VLOOKUP(A36,'MusiteDeep-11'!$A$1:$F$124,6,0)</f>
        <v>#N/A</v>
      </c>
    </row>
    <row r="37" spans="1:4" x14ac:dyDescent="0.4">
      <c r="A37" t="s">
        <v>73</v>
      </c>
      <c r="B37" t="s">
        <v>74</v>
      </c>
      <c r="C37">
        <v>1</v>
      </c>
      <c r="D37">
        <f>VLOOKUP(A37,'MusiteDeep-11'!$A$1:$F$124,6,0)</f>
        <v>0</v>
      </c>
    </row>
    <row r="38" spans="1:4" x14ac:dyDescent="0.4">
      <c r="A38" t="s">
        <v>75</v>
      </c>
      <c r="B38" t="s">
        <v>76</v>
      </c>
      <c r="C38">
        <v>1</v>
      </c>
      <c r="D38" t="e">
        <f>VLOOKUP(A38,'MusiteDeep-11'!$A$1:$F$124,6,0)</f>
        <v>#N/A</v>
      </c>
    </row>
    <row r="39" spans="1:4" x14ac:dyDescent="0.4">
      <c r="A39" t="s">
        <v>77</v>
      </c>
      <c r="B39" t="s">
        <v>78</v>
      </c>
      <c r="C39">
        <v>1</v>
      </c>
      <c r="D39" t="e">
        <f>VLOOKUP(A39,'MusiteDeep-11'!$A$1:$F$124,6,0)</f>
        <v>#N/A</v>
      </c>
    </row>
    <row r="40" spans="1:4" x14ac:dyDescent="0.4">
      <c r="A40" t="s">
        <v>79</v>
      </c>
      <c r="B40" t="s">
        <v>80</v>
      </c>
      <c r="C40">
        <v>1</v>
      </c>
      <c r="D40" t="e">
        <f>VLOOKUP(A40,'MusiteDeep-11'!$A$1:$F$124,6,0)</f>
        <v>#N/A</v>
      </c>
    </row>
    <row r="41" spans="1:4" x14ac:dyDescent="0.4">
      <c r="A41" t="s">
        <v>81</v>
      </c>
      <c r="B41" t="s">
        <v>82</v>
      </c>
      <c r="C41">
        <v>1</v>
      </c>
      <c r="D41" t="e">
        <f>VLOOKUP(A41,'MusiteDeep-11'!$A$1:$F$124,6,0)</f>
        <v>#N/A</v>
      </c>
    </row>
    <row r="42" spans="1:4" x14ac:dyDescent="0.4">
      <c r="A42" t="s">
        <v>83</v>
      </c>
      <c r="B42" t="s">
        <v>84</v>
      </c>
      <c r="C42">
        <v>1</v>
      </c>
      <c r="D42">
        <f>VLOOKUP(A42,'MusiteDeep-11'!$A$1:$F$124,6,0)</f>
        <v>1</v>
      </c>
    </row>
    <row r="43" spans="1:4" x14ac:dyDescent="0.4">
      <c r="A43" t="s">
        <v>85</v>
      </c>
      <c r="B43" t="s">
        <v>86</v>
      </c>
      <c r="C43">
        <v>1</v>
      </c>
      <c r="D43">
        <f>VLOOKUP(A43,'MusiteDeep-11'!$A$1:$F$124,6,0)</f>
        <v>1</v>
      </c>
    </row>
    <row r="44" spans="1:4" x14ac:dyDescent="0.4">
      <c r="A44" t="s">
        <v>87</v>
      </c>
      <c r="B44" t="s">
        <v>88</v>
      </c>
      <c r="C44">
        <v>1</v>
      </c>
      <c r="D44" t="e">
        <f>VLOOKUP(A44,'MusiteDeep-11'!$A$1:$F$124,6,0)</f>
        <v>#N/A</v>
      </c>
    </row>
    <row r="45" spans="1:4" x14ac:dyDescent="0.4">
      <c r="A45" t="s">
        <v>89</v>
      </c>
      <c r="B45" t="s">
        <v>90</v>
      </c>
      <c r="C45">
        <v>1</v>
      </c>
      <c r="D45" t="e">
        <f>VLOOKUP(A45,'MusiteDeep-11'!$A$1:$F$124,6,0)</f>
        <v>#N/A</v>
      </c>
    </row>
    <row r="46" spans="1:4" x14ac:dyDescent="0.4">
      <c r="A46" t="s">
        <v>91</v>
      </c>
      <c r="B46" t="s">
        <v>92</v>
      </c>
      <c r="C46">
        <v>1</v>
      </c>
      <c r="D46">
        <f>VLOOKUP(A46,'MusiteDeep-11'!$A$1:$F$124,6,0)</f>
        <v>1</v>
      </c>
    </row>
    <row r="47" spans="1:4" x14ac:dyDescent="0.4">
      <c r="A47" t="s">
        <v>93</v>
      </c>
      <c r="B47" t="s">
        <v>94</v>
      </c>
      <c r="C47">
        <v>1</v>
      </c>
      <c r="D47" t="e">
        <f>VLOOKUP(A47,'MusiteDeep-11'!$A$1:$F$124,6,0)</f>
        <v>#N/A</v>
      </c>
    </row>
    <row r="48" spans="1:4" x14ac:dyDescent="0.4">
      <c r="A48" t="s">
        <v>95</v>
      </c>
      <c r="B48" t="s">
        <v>96</v>
      </c>
      <c r="C48">
        <v>1</v>
      </c>
      <c r="D48">
        <f>VLOOKUP(A48,'MusiteDeep-11'!$A$1:$F$124,6,0)</f>
        <v>0</v>
      </c>
    </row>
    <row r="49" spans="1:4" x14ac:dyDescent="0.4">
      <c r="A49" t="s">
        <v>97</v>
      </c>
      <c r="B49" t="s">
        <v>98</v>
      </c>
      <c r="C49">
        <v>1</v>
      </c>
      <c r="D49" t="e">
        <f>VLOOKUP(A49,'MusiteDeep-11'!$A$1:$F$124,6,0)</f>
        <v>#N/A</v>
      </c>
    </row>
    <row r="50" spans="1:4" x14ac:dyDescent="0.4">
      <c r="A50" t="s">
        <v>99</v>
      </c>
      <c r="B50" t="s">
        <v>100</v>
      </c>
      <c r="C50">
        <v>1</v>
      </c>
      <c r="D50" t="e">
        <f>VLOOKUP(A50,'MusiteDeep-11'!$A$1:$F$124,6,0)</f>
        <v>#N/A</v>
      </c>
    </row>
    <row r="51" spans="1:4" x14ac:dyDescent="0.4">
      <c r="A51" t="s">
        <v>101</v>
      </c>
      <c r="B51" t="s">
        <v>102</v>
      </c>
      <c r="C51">
        <v>1</v>
      </c>
      <c r="D51">
        <f>VLOOKUP(A51,'MusiteDeep-11'!$A$1:$F$124,6,0)</f>
        <v>0</v>
      </c>
    </row>
    <row r="52" spans="1:4" x14ac:dyDescent="0.4">
      <c r="A52" t="s">
        <v>103</v>
      </c>
      <c r="B52" t="s">
        <v>104</v>
      </c>
      <c r="C52">
        <v>1</v>
      </c>
      <c r="D52" t="e">
        <f>VLOOKUP(A52,'MusiteDeep-11'!$A$1:$F$124,6,0)</f>
        <v>#N/A</v>
      </c>
    </row>
    <row r="53" spans="1:4" x14ac:dyDescent="0.4">
      <c r="A53" t="s">
        <v>105</v>
      </c>
      <c r="B53" t="s">
        <v>106</v>
      </c>
      <c r="C53">
        <v>1</v>
      </c>
      <c r="D53" t="e">
        <f>VLOOKUP(A53,'MusiteDeep-11'!$A$1:$F$124,6,0)</f>
        <v>#N/A</v>
      </c>
    </row>
    <row r="54" spans="1:4" x14ac:dyDescent="0.4">
      <c r="A54" t="s">
        <v>107</v>
      </c>
      <c r="B54" t="s">
        <v>108</v>
      </c>
      <c r="C54">
        <v>1</v>
      </c>
      <c r="D54" t="e">
        <f>VLOOKUP(A54,'MusiteDeep-11'!$A$1:$F$124,6,0)</f>
        <v>#N/A</v>
      </c>
    </row>
    <row r="55" spans="1:4" x14ac:dyDescent="0.4">
      <c r="A55" t="s">
        <v>109</v>
      </c>
      <c r="B55" t="s">
        <v>110</v>
      </c>
      <c r="C55">
        <v>1</v>
      </c>
      <c r="D55" t="e">
        <f>VLOOKUP(A55,'MusiteDeep-11'!$A$1:$F$124,6,0)</f>
        <v>#N/A</v>
      </c>
    </row>
    <row r="56" spans="1:4" x14ac:dyDescent="0.4">
      <c r="A56" t="s">
        <v>111</v>
      </c>
      <c r="B56" t="s">
        <v>112</v>
      </c>
      <c r="C56">
        <v>1</v>
      </c>
      <c r="D56" t="e">
        <f>VLOOKUP(A56,'MusiteDeep-11'!$A$1:$F$124,6,0)</f>
        <v>#N/A</v>
      </c>
    </row>
    <row r="57" spans="1:4" x14ac:dyDescent="0.4">
      <c r="A57" t="s">
        <v>113</v>
      </c>
      <c r="B57" t="s">
        <v>114</v>
      </c>
      <c r="C57">
        <v>1</v>
      </c>
      <c r="D57" t="e">
        <f>VLOOKUP(A57,'MusiteDeep-11'!$A$1:$F$124,6,0)</f>
        <v>#N/A</v>
      </c>
    </row>
    <row r="58" spans="1:4" x14ac:dyDescent="0.4">
      <c r="A58" t="s">
        <v>115</v>
      </c>
      <c r="B58" t="s">
        <v>116</v>
      </c>
      <c r="C58">
        <v>1</v>
      </c>
      <c r="D58" t="e">
        <f>VLOOKUP(A58,'MusiteDeep-11'!$A$1:$F$124,6,0)</f>
        <v>#N/A</v>
      </c>
    </row>
    <row r="59" spans="1:4" x14ac:dyDescent="0.4">
      <c r="A59" t="s">
        <v>117</v>
      </c>
      <c r="B59" t="s">
        <v>118</v>
      </c>
      <c r="C59">
        <v>1</v>
      </c>
      <c r="D59" t="e">
        <f>VLOOKUP(A59,'MusiteDeep-11'!$A$1:$F$124,6,0)</f>
        <v>#N/A</v>
      </c>
    </row>
    <row r="60" spans="1:4" x14ac:dyDescent="0.4">
      <c r="A60" t="s">
        <v>119</v>
      </c>
      <c r="B60" t="s">
        <v>120</v>
      </c>
      <c r="C60">
        <v>1</v>
      </c>
      <c r="D60" t="e">
        <f>VLOOKUP(A60,'MusiteDeep-11'!$A$1:$F$124,6,0)</f>
        <v>#N/A</v>
      </c>
    </row>
    <row r="61" spans="1:4" x14ac:dyDescent="0.4">
      <c r="A61" t="s">
        <v>121</v>
      </c>
      <c r="B61" t="s">
        <v>122</v>
      </c>
      <c r="C61">
        <v>1</v>
      </c>
      <c r="D61" t="e">
        <f>VLOOKUP(A61,'MusiteDeep-11'!$A$1:$F$124,6,0)</f>
        <v>#N/A</v>
      </c>
    </row>
    <row r="62" spans="1:4" x14ac:dyDescent="0.4">
      <c r="A62" t="s">
        <v>123</v>
      </c>
      <c r="B62" t="s">
        <v>124</v>
      </c>
      <c r="C62">
        <v>1</v>
      </c>
      <c r="D62" t="e">
        <f>VLOOKUP(A62,'MusiteDeep-11'!$A$1:$F$124,6,0)</f>
        <v>#N/A</v>
      </c>
    </row>
    <row r="63" spans="1:4" x14ac:dyDescent="0.4">
      <c r="A63" t="s">
        <v>125</v>
      </c>
      <c r="B63" t="s">
        <v>126</v>
      </c>
      <c r="C63">
        <v>1</v>
      </c>
      <c r="D63" t="e">
        <f>VLOOKUP(A63,'MusiteDeep-11'!$A$1:$F$124,6,0)</f>
        <v>#N/A</v>
      </c>
    </row>
    <row r="64" spans="1:4" x14ac:dyDescent="0.4">
      <c r="A64" t="s">
        <v>127</v>
      </c>
      <c r="B64" t="s">
        <v>128</v>
      </c>
      <c r="C64">
        <v>1</v>
      </c>
      <c r="D64" t="e">
        <f>VLOOKUP(A64,'MusiteDeep-11'!$A$1:$F$124,6,0)</f>
        <v>#N/A</v>
      </c>
    </row>
    <row r="65" spans="1:4" x14ac:dyDescent="0.4">
      <c r="A65" t="s">
        <v>129</v>
      </c>
      <c r="B65" t="s">
        <v>130</v>
      </c>
      <c r="C65">
        <v>1</v>
      </c>
      <c r="D65" t="e">
        <f>VLOOKUP(A65,'MusiteDeep-11'!$A$1:$F$124,6,0)</f>
        <v>#N/A</v>
      </c>
    </row>
    <row r="66" spans="1:4" x14ac:dyDescent="0.4">
      <c r="A66" t="s">
        <v>131</v>
      </c>
      <c r="B66" t="s">
        <v>132</v>
      </c>
      <c r="C66">
        <v>1</v>
      </c>
      <c r="D66" t="e">
        <f>VLOOKUP(A66,'MusiteDeep-11'!$A$1:$F$124,6,0)</f>
        <v>#N/A</v>
      </c>
    </row>
    <row r="67" spans="1:4" x14ac:dyDescent="0.4">
      <c r="A67" t="s">
        <v>133</v>
      </c>
      <c r="B67" t="s">
        <v>134</v>
      </c>
      <c r="C67">
        <v>1</v>
      </c>
      <c r="D67" t="e">
        <f>VLOOKUP(A67,'MusiteDeep-11'!$A$1:$F$124,6,0)</f>
        <v>#N/A</v>
      </c>
    </row>
    <row r="68" spans="1:4" x14ac:dyDescent="0.4">
      <c r="A68" t="s">
        <v>135</v>
      </c>
      <c r="B68" t="s">
        <v>136</v>
      </c>
      <c r="C68">
        <v>1</v>
      </c>
      <c r="D68" t="e">
        <f>VLOOKUP(A68,'MusiteDeep-11'!$A$1:$F$124,6,0)</f>
        <v>#N/A</v>
      </c>
    </row>
    <row r="69" spans="1:4" x14ac:dyDescent="0.4">
      <c r="A69" t="s">
        <v>137</v>
      </c>
      <c r="B69" t="s">
        <v>138</v>
      </c>
      <c r="C69">
        <v>1</v>
      </c>
      <c r="D69">
        <f>VLOOKUP(A69,'MusiteDeep-11'!$A$1:$F$124,6,0)</f>
        <v>1</v>
      </c>
    </row>
    <row r="70" spans="1:4" x14ac:dyDescent="0.4">
      <c r="A70" t="s">
        <v>139</v>
      </c>
      <c r="B70" t="s">
        <v>140</v>
      </c>
      <c r="C70">
        <v>1</v>
      </c>
      <c r="D70" t="e">
        <f>VLOOKUP(A70,'MusiteDeep-11'!$A$1:$F$124,6,0)</f>
        <v>#N/A</v>
      </c>
    </row>
    <row r="71" spans="1:4" x14ac:dyDescent="0.4">
      <c r="A71" t="s">
        <v>141</v>
      </c>
      <c r="B71" t="s">
        <v>142</v>
      </c>
      <c r="C71">
        <v>1</v>
      </c>
      <c r="D71" t="e">
        <f>VLOOKUP(A71,'MusiteDeep-11'!$A$1:$F$124,6,0)</f>
        <v>#N/A</v>
      </c>
    </row>
    <row r="72" spans="1:4" x14ac:dyDescent="0.4">
      <c r="A72" t="s">
        <v>143</v>
      </c>
      <c r="B72" t="s">
        <v>144</v>
      </c>
      <c r="C72">
        <v>1</v>
      </c>
      <c r="D72" t="e">
        <f>VLOOKUP(A72,'MusiteDeep-11'!$A$1:$F$124,6,0)</f>
        <v>#N/A</v>
      </c>
    </row>
    <row r="73" spans="1:4" x14ac:dyDescent="0.4">
      <c r="A73" t="s">
        <v>145</v>
      </c>
      <c r="B73" t="s">
        <v>146</v>
      </c>
      <c r="C73">
        <v>1</v>
      </c>
      <c r="D73">
        <f>VLOOKUP(A73,'MusiteDeep-11'!$A$1:$F$124,6,0)</f>
        <v>0</v>
      </c>
    </row>
    <row r="74" spans="1:4" x14ac:dyDescent="0.4">
      <c r="A74" t="s">
        <v>147</v>
      </c>
      <c r="B74" t="s">
        <v>148</v>
      </c>
      <c r="C74">
        <v>1</v>
      </c>
      <c r="D74" t="e">
        <f>VLOOKUP(A74,'MusiteDeep-11'!$A$1:$F$124,6,0)</f>
        <v>#N/A</v>
      </c>
    </row>
    <row r="75" spans="1:4" x14ac:dyDescent="0.4">
      <c r="A75" t="s">
        <v>149</v>
      </c>
      <c r="B75" t="s">
        <v>150</v>
      </c>
      <c r="C75">
        <v>1</v>
      </c>
      <c r="D75" t="e">
        <f>VLOOKUP(A75,'MusiteDeep-11'!$A$1:$F$124,6,0)</f>
        <v>#N/A</v>
      </c>
    </row>
    <row r="76" spans="1:4" x14ac:dyDescent="0.4">
      <c r="A76" t="s">
        <v>151</v>
      </c>
      <c r="B76" t="s">
        <v>152</v>
      </c>
      <c r="C76">
        <v>1</v>
      </c>
      <c r="D76" t="e">
        <f>VLOOKUP(A76,'MusiteDeep-11'!$A$1:$F$124,6,0)</f>
        <v>#N/A</v>
      </c>
    </row>
    <row r="77" spans="1:4" x14ac:dyDescent="0.4">
      <c r="A77" t="s">
        <v>153</v>
      </c>
      <c r="B77" t="s">
        <v>154</v>
      </c>
      <c r="C77">
        <v>1</v>
      </c>
      <c r="D77" t="e">
        <f>VLOOKUP(A77,'MusiteDeep-11'!$A$1:$F$124,6,0)</f>
        <v>#N/A</v>
      </c>
    </row>
    <row r="78" spans="1:4" x14ac:dyDescent="0.4">
      <c r="A78" t="s">
        <v>155</v>
      </c>
      <c r="B78" t="s">
        <v>156</v>
      </c>
      <c r="C78">
        <v>1</v>
      </c>
      <c r="D78">
        <f>VLOOKUP(A78,'MusiteDeep-11'!$A$1:$F$124,6,0)</f>
        <v>1</v>
      </c>
    </row>
    <row r="79" spans="1:4" x14ac:dyDescent="0.4">
      <c r="A79" t="s">
        <v>157</v>
      </c>
      <c r="B79" t="s">
        <v>158</v>
      </c>
      <c r="C79">
        <v>1</v>
      </c>
      <c r="D79">
        <f>VLOOKUP(A79,'MusiteDeep-11'!$A$1:$F$124,6,0)</f>
        <v>1</v>
      </c>
    </row>
    <row r="80" spans="1:4" x14ac:dyDescent="0.4">
      <c r="A80" t="s">
        <v>159</v>
      </c>
      <c r="B80" t="s">
        <v>160</v>
      </c>
      <c r="C80">
        <v>1</v>
      </c>
      <c r="D80" t="e">
        <f>VLOOKUP(A80,'MusiteDeep-11'!$A$1:$F$124,6,0)</f>
        <v>#N/A</v>
      </c>
    </row>
    <row r="81" spans="1:4" x14ac:dyDescent="0.4">
      <c r="A81" t="s">
        <v>161</v>
      </c>
      <c r="B81" t="s">
        <v>162</v>
      </c>
      <c r="C81">
        <v>1</v>
      </c>
      <c r="D81" t="e">
        <f>VLOOKUP(A81,'MusiteDeep-11'!$A$1:$F$124,6,0)</f>
        <v>#N/A</v>
      </c>
    </row>
    <row r="82" spans="1:4" x14ac:dyDescent="0.4">
      <c r="A82" t="s">
        <v>163</v>
      </c>
      <c r="B82" t="s">
        <v>164</v>
      </c>
      <c r="C82">
        <v>1</v>
      </c>
      <c r="D82" t="e">
        <f>VLOOKUP(A82,'MusiteDeep-11'!$A$1:$F$124,6,0)</f>
        <v>#N/A</v>
      </c>
    </row>
    <row r="83" spans="1:4" x14ac:dyDescent="0.4">
      <c r="A83" t="s">
        <v>165</v>
      </c>
      <c r="B83" t="s">
        <v>166</v>
      </c>
      <c r="C83">
        <v>1</v>
      </c>
      <c r="D83">
        <f>VLOOKUP(A83,'MusiteDeep-11'!$A$1:$F$124,6,0)</f>
        <v>0</v>
      </c>
    </row>
    <row r="84" spans="1:4" x14ac:dyDescent="0.4">
      <c r="A84" t="s">
        <v>167</v>
      </c>
      <c r="B84" t="s">
        <v>168</v>
      </c>
      <c r="C84">
        <v>1</v>
      </c>
      <c r="D84" t="e">
        <f>VLOOKUP(A84,'MusiteDeep-11'!$A$1:$F$124,6,0)</f>
        <v>#N/A</v>
      </c>
    </row>
    <row r="85" spans="1:4" x14ac:dyDescent="0.4">
      <c r="A85" t="s">
        <v>169</v>
      </c>
      <c r="B85" t="s">
        <v>170</v>
      </c>
      <c r="C85">
        <v>1</v>
      </c>
      <c r="D85" t="e">
        <f>VLOOKUP(A85,'MusiteDeep-11'!$A$1:$F$124,6,0)</f>
        <v>#N/A</v>
      </c>
    </row>
    <row r="86" spans="1:4" x14ac:dyDescent="0.4">
      <c r="A86" t="s">
        <v>171</v>
      </c>
      <c r="B86" t="s">
        <v>172</v>
      </c>
      <c r="C86">
        <v>1</v>
      </c>
      <c r="D86" t="e">
        <f>VLOOKUP(A86,'MusiteDeep-11'!$A$1:$F$124,6,0)</f>
        <v>#N/A</v>
      </c>
    </row>
    <row r="87" spans="1:4" x14ac:dyDescent="0.4">
      <c r="A87" t="s">
        <v>173</v>
      </c>
      <c r="B87" t="s">
        <v>174</v>
      </c>
      <c r="C87">
        <v>1</v>
      </c>
      <c r="D87" t="e">
        <f>VLOOKUP(A87,'MusiteDeep-11'!$A$1:$F$124,6,0)</f>
        <v>#N/A</v>
      </c>
    </row>
    <row r="88" spans="1:4" x14ac:dyDescent="0.4">
      <c r="A88" t="s">
        <v>175</v>
      </c>
      <c r="B88" t="s">
        <v>176</v>
      </c>
      <c r="C88">
        <v>1</v>
      </c>
      <c r="D88" t="e">
        <f>VLOOKUP(A88,'MusiteDeep-11'!$A$1:$F$124,6,0)</f>
        <v>#N/A</v>
      </c>
    </row>
    <row r="89" spans="1:4" x14ac:dyDescent="0.4">
      <c r="A89" t="s">
        <v>177</v>
      </c>
      <c r="B89" t="s">
        <v>178</v>
      </c>
      <c r="C89">
        <v>1</v>
      </c>
      <c r="D89" t="e">
        <f>VLOOKUP(A89,'MusiteDeep-11'!$A$1:$F$124,6,0)</f>
        <v>#N/A</v>
      </c>
    </row>
    <row r="90" spans="1:4" x14ac:dyDescent="0.4">
      <c r="A90" t="s">
        <v>179</v>
      </c>
      <c r="B90" t="s">
        <v>180</v>
      </c>
      <c r="C90">
        <v>1</v>
      </c>
      <c r="D90" t="e">
        <f>VLOOKUP(A90,'MusiteDeep-11'!$A$1:$F$124,6,0)</f>
        <v>#N/A</v>
      </c>
    </row>
    <row r="91" spans="1:4" x14ac:dyDescent="0.4">
      <c r="A91" t="s">
        <v>181</v>
      </c>
      <c r="B91" t="s">
        <v>182</v>
      </c>
      <c r="C91">
        <v>1</v>
      </c>
      <c r="D91" t="e">
        <f>VLOOKUP(A91,'MusiteDeep-11'!$A$1:$F$124,6,0)</f>
        <v>#N/A</v>
      </c>
    </row>
    <row r="92" spans="1:4" x14ac:dyDescent="0.4">
      <c r="A92" t="s">
        <v>183</v>
      </c>
      <c r="B92" t="s">
        <v>184</v>
      </c>
      <c r="C92">
        <v>1</v>
      </c>
      <c r="D92" t="e">
        <f>VLOOKUP(A92,'MusiteDeep-11'!$A$1:$F$124,6,0)</f>
        <v>#N/A</v>
      </c>
    </row>
    <row r="93" spans="1:4" x14ac:dyDescent="0.4">
      <c r="A93" t="s">
        <v>185</v>
      </c>
      <c r="B93" t="s">
        <v>186</v>
      </c>
      <c r="C93">
        <v>1</v>
      </c>
      <c r="D93" t="e">
        <f>VLOOKUP(A93,'MusiteDeep-11'!$A$1:$F$124,6,0)</f>
        <v>#N/A</v>
      </c>
    </row>
    <row r="94" spans="1:4" x14ac:dyDescent="0.4">
      <c r="A94" t="s">
        <v>187</v>
      </c>
      <c r="B94" t="s">
        <v>188</v>
      </c>
      <c r="C94">
        <v>1</v>
      </c>
      <c r="D94" t="e">
        <f>VLOOKUP(A94,'MusiteDeep-11'!$A$1:$F$124,6,0)</f>
        <v>#N/A</v>
      </c>
    </row>
    <row r="95" spans="1:4" x14ac:dyDescent="0.4">
      <c r="A95" t="s">
        <v>189</v>
      </c>
      <c r="B95" t="s">
        <v>190</v>
      </c>
      <c r="C95">
        <v>1</v>
      </c>
      <c r="D95" t="e">
        <f>VLOOKUP(A95,'MusiteDeep-11'!$A$1:$F$124,6,0)</f>
        <v>#N/A</v>
      </c>
    </row>
    <row r="96" spans="1:4" x14ac:dyDescent="0.4">
      <c r="A96" t="s">
        <v>191</v>
      </c>
      <c r="B96" t="s">
        <v>192</v>
      </c>
      <c r="C96">
        <v>1</v>
      </c>
      <c r="D96" t="e">
        <f>VLOOKUP(A96,'MusiteDeep-11'!$A$1:$F$124,6,0)</f>
        <v>#N/A</v>
      </c>
    </row>
    <row r="97" spans="1:4" x14ac:dyDescent="0.4">
      <c r="A97" t="s">
        <v>193</v>
      </c>
      <c r="B97" t="s">
        <v>194</v>
      </c>
      <c r="C97">
        <v>1</v>
      </c>
      <c r="D97" t="e">
        <f>VLOOKUP(A97,'MusiteDeep-11'!$A$1:$F$124,6,0)</f>
        <v>#N/A</v>
      </c>
    </row>
    <row r="98" spans="1:4" x14ac:dyDescent="0.4">
      <c r="A98" t="s">
        <v>195</v>
      </c>
      <c r="B98" t="s">
        <v>196</v>
      </c>
      <c r="C98">
        <v>1</v>
      </c>
      <c r="D98" t="e">
        <f>VLOOKUP(A98,'MusiteDeep-11'!$A$1:$F$124,6,0)</f>
        <v>#N/A</v>
      </c>
    </row>
    <row r="99" spans="1:4" x14ac:dyDescent="0.4">
      <c r="A99" t="s">
        <v>197</v>
      </c>
      <c r="B99" t="s">
        <v>198</v>
      </c>
      <c r="C99">
        <v>1</v>
      </c>
      <c r="D99">
        <f>VLOOKUP(A99,'MusiteDeep-11'!$A$1:$F$124,6,0)</f>
        <v>1</v>
      </c>
    </row>
    <row r="100" spans="1:4" x14ac:dyDescent="0.4">
      <c r="A100" t="s">
        <v>199</v>
      </c>
      <c r="B100" t="s">
        <v>200</v>
      </c>
      <c r="C100">
        <v>1</v>
      </c>
      <c r="D100" t="e">
        <f>VLOOKUP(A100,'MusiteDeep-11'!$A$1:$F$124,6,0)</f>
        <v>#N/A</v>
      </c>
    </row>
    <row r="101" spans="1:4" x14ac:dyDescent="0.4">
      <c r="A101" t="s">
        <v>201</v>
      </c>
      <c r="B101" t="s">
        <v>202</v>
      </c>
      <c r="C101">
        <v>1</v>
      </c>
      <c r="D101" t="e">
        <f>VLOOKUP(A101,'MusiteDeep-11'!$A$1:$F$124,6,0)</f>
        <v>#N/A</v>
      </c>
    </row>
    <row r="102" spans="1:4" x14ac:dyDescent="0.4">
      <c r="A102" t="s">
        <v>203</v>
      </c>
      <c r="B102" t="s">
        <v>204</v>
      </c>
      <c r="C102">
        <v>1</v>
      </c>
      <c r="D102" t="e">
        <f>VLOOKUP(A102,'MusiteDeep-11'!$A$1:$F$124,6,0)</f>
        <v>#N/A</v>
      </c>
    </row>
    <row r="103" spans="1:4" x14ac:dyDescent="0.4">
      <c r="A103" t="s">
        <v>205</v>
      </c>
      <c r="B103" t="s">
        <v>206</v>
      </c>
      <c r="C103">
        <v>1</v>
      </c>
      <c r="D103" t="e">
        <f>VLOOKUP(A103,'MusiteDeep-11'!$A$1:$F$124,6,0)</f>
        <v>#N/A</v>
      </c>
    </row>
    <row r="104" spans="1:4" x14ac:dyDescent="0.4">
      <c r="A104" t="s">
        <v>207</v>
      </c>
      <c r="B104" t="s">
        <v>208</v>
      </c>
      <c r="C104">
        <v>1</v>
      </c>
      <c r="D104" t="e">
        <f>VLOOKUP(A104,'MusiteDeep-11'!$A$1:$F$124,6,0)</f>
        <v>#N/A</v>
      </c>
    </row>
    <row r="105" spans="1:4" x14ac:dyDescent="0.4">
      <c r="A105" t="s">
        <v>209</v>
      </c>
      <c r="B105" t="s">
        <v>210</v>
      </c>
      <c r="C105">
        <v>1</v>
      </c>
      <c r="D105" t="e">
        <f>VLOOKUP(A105,'MusiteDeep-11'!$A$1:$F$124,6,0)</f>
        <v>#N/A</v>
      </c>
    </row>
    <row r="106" spans="1:4" x14ac:dyDescent="0.4">
      <c r="A106" t="s">
        <v>211</v>
      </c>
      <c r="B106" t="s">
        <v>212</v>
      </c>
      <c r="C106">
        <v>1</v>
      </c>
      <c r="D106" t="e">
        <f>VLOOKUP(A106,'MusiteDeep-11'!$A$1:$F$124,6,0)</f>
        <v>#N/A</v>
      </c>
    </row>
    <row r="107" spans="1:4" x14ac:dyDescent="0.4">
      <c r="A107" t="s">
        <v>213</v>
      </c>
      <c r="B107" t="s">
        <v>214</v>
      </c>
      <c r="C107">
        <v>1</v>
      </c>
      <c r="D107" t="e">
        <f>VLOOKUP(A107,'MusiteDeep-11'!$A$1:$F$124,6,0)</f>
        <v>#N/A</v>
      </c>
    </row>
    <row r="108" spans="1:4" x14ac:dyDescent="0.4">
      <c r="A108" t="s">
        <v>215</v>
      </c>
      <c r="B108" t="s">
        <v>216</v>
      </c>
      <c r="C108">
        <v>1</v>
      </c>
      <c r="D108" t="e">
        <f>VLOOKUP(A108,'MusiteDeep-11'!$A$1:$F$124,6,0)</f>
        <v>#N/A</v>
      </c>
    </row>
    <row r="109" spans="1:4" x14ac:dyDescent="0.4">
      <c r="A109" t="s">
        <v>217</v>
      </c>
      <c r="B109" t="s">
        <v>218</v>
      </c>
      <c r="C109">
        <v>1</v>
      </c>
      <c r="D109" t="e">
        <f>VLOOKUP(A109,'MusiteDeep-11'!$A$1:$F$124,6,0)</f>
        <v>#N/A</v>
      </c>
    </row>
    <row r="110" spans="1:4" x14ac:dyDescent="0.4">
      <c r="A110" t="s">
        <v>219</v>
      </c>
      <c r="B110" t="s">
        <v>220</v>
      </c>
      <c r="C110">
        <v>1</v>
      </c>
      <c r="D110" t="e">
        <f>VLOOKUP(A110,'MusiteDeep-11'!$A$1:$F$124,6,0)</f>
        <v>#N/A</v>
      </c>
    </row>
    <row r="111" spans="1:4" x14ac:dyDescent="0.4">
      <c r="A111" t="s">
        <v>221</v>
      </c>
      <c r="B111" t="s">
        <v>222</v>
      </c>
      <c r="C111">
        <v>1</v>
      </c>
      <c r="D111" t="e">
        <f>VLOOKUP(A111,'MusiteDeep-11'!$A$1:$F$124,6,0)</f>
        <v>#N/A</v>
      </c>
    </row>
    <row r="112" spans="1:4" x14ac:dyDescent="0.4">
      <c r="A112" t="s">
        <v>223</v>
      </c>
      <c r="B112" t="s">
        <v>224</v>
      </c>
      <c r="C112">
        <v>1</v>
      </c>
      <c r="D112" t="e">
        <f>VLOOKUP(A112,'MusiteDeep-11'!$A$1:$F$124,6,0)</f>
        <v>#N/A</v>
      </c>
    </row>
    <row r="113" spans="1:4" x14ac:dyDescent="0.4">
      <c r="A113" t="s">
        <v>225</v>
      </c>
      <c r="B113" t="s">
        <v>226</v>
      </c>
      <c r="C113">
        <v>1</v>
      </c>
      <c r="D113" t="e">
        <f>VLOOKUP(A113,'MusiteDeep-11'!$A$1:$F$124,6,0)</f>
        <v>#N/A</v>
      </c>
    </row>
    <row r="114" spans="1:4" x14ac:dyDescent="0.4">
      <c r="A114" t="s">
        <v>227</v>
      </c>
      <c r="B114" t="s">
        <v>228</v>
      </c>
      <c r="C114">
        <v>1</v>
      </c>
      <c r="D114" t="e">
        <f>VLOOKUP(A114,'MusiteDeep-11'!$A$1:$F$124,6,0)</f>
        <v>#N/A</v>
      </c>
    </row>
    <row r="115" spans="1:4" x14ac:dyDescent="0.4">
      <c r="A115" t="s">
        <v>229</v>
      </c>
      <c r="B115" t="s">
        <v>230</v>
      </c>
      <c r="C115">
        <v>1</v>
      </c>
      <c r="D115">
        <f>VLOOKUP(A115,'MusiteDeep-11'!$A$1:$F$124,6,0)</f>
        <v>1</v>
      </c>
    </row>
    <row r="116" spans="1:4" x14ac:dyDescent="0.4">
      <c r="A116" t="s">
        <v>231</v>
      </c>
      <c r="B116" t="s">
        <v>232</v>
      </c>
      <c r="C116">
        <v>1</v>
      </c>
      <c r="D116" t="e">
        <f>VLOOKUP(A116,'MusiteDeep-11'!$A$1:$F$124,6,0)</f>
        <v>#N/A</v>
      </c>
    </row>
    <row r="117" spans="1:4" x14ac:dyDescent="0.4">
      <c r="A117" t="s">
        <v>233</v>
      </c>
      <c r="B117" t="s">
        <v>234</v>
      </c>
      <c r="C117">
        <v>1</v>
      </c>
      <c r="D117" t="e">
        <f>VLOOKUP(A117,'MusiteDeep-11'!$A$1:$F$124,6,0)</f>
        <v>#N/A</v>
      </c>
    </row>
    <row r="118" spans="1:4" x14ac:dyDescent="0.4">
      <c r="A118" t="s">
        <v>235</v>
      </c>
      <c r="B118" t="s">
        <v>236</v>
      </c>
      <c r="C118">
        <v>1</v>
      </c>
      <c r="D118" t="e">
        <f>VLOOKUP(A118,'MusiteDeep-11'!$A$1:$F$124,6,0)</f>
        <v>#N/A</v>
      </c>
    </row>
    <row r="119" spans="1:4" x14ac:dyDescent="0.4">
      <c r="A119" t="s">
        <v>237</v>
      </c>
      <c r="B119" t="s">
        <v>238</v>
      </c>
      <c r="C119">
        <v>1</v>
      </c>
      <c r="D119">
        <f>VLOOKUP(A119,'MusiteDeep-11'!$A$1:$F$124,6,0)</f>
        <v>1</v>
      </c>
    </row>
    <row r="120" spans="1:4" x14ac:dyDescent="0.4">
      <c r="A120" t="s">
        <v>239</v>
      </c>
      <c r="B120" t="s">
        <v>240</v>
      </c>
      <c r="C120">
        <v>1</v>
      </c>
      <c r="D120" t="e">
        <f>VLOOKUP(A120,'MusiteDeep-11'!$A$1:$F$124,6,0)</f>
        <v>#N/A</v>
      </c>
    </row>
    <row r="121" spans="1:4" x14ac:dyDescent="0.4">
      <c r="A121" t="s">
        <v>241</v>
      </c>
      <c r="B121" t="s">
        <v>242</v>
      </c>
      <c r="C121">
        <v>1</v>
      </c>
      <c r="D121" t="e">
        <f>VLOOKUP(A121,'MusiteDeep-11'!$A$1:$F$124,6,0)</f>
        <v>#N/A</v>
      </c>
    </row>
    <row r="122" spans="1:4" x14ac:dyDescent="0.4">
      <c r="A122" t="s">
        <v>243</v>
      </c>
      <c r="B122" t="s">
        <v>244</v>
      </c>
      <c r="C122">
        <v>1</v>
      </c>
      <c r="D122" t="e">
        <f>VLOOKUP(A122,'MusiteDeep-11'!$A$1:$F$124,6,0)</f>
        <v>#N/A</v>
      </c>
    </row>
    <row r="123" spans="1:4" x14ac:dyDescent="0.4">
      <c r="A123" t="s">
        <v>245</v>
      </c>
      <c r="B123" t="s">
        <v>246</v>
      </c>
      <c r="C123">
        <v>1</v>
      </c>
      <c r="D123" t="e">
        <f>VLOOKUP(A123,'MusiteDeep-11'!$A$1:$F$124,6,0)</f>
        <v>#N/A</v>
      </c>
    </row>
    <row r="124" spans="1:4" x14ac:dyDescent="0.4">
      <c r="A124" t="s">
        <v>247</v>
      </c>
      <c r="B124" t="s">
        <v>248</v>
      </c>
      <c r="C124">
        <v>1</v>
      </c>
      <c r="D124" t="e">
        <f>VLOOKUP(A124,'MusiteDeep-11'!$A$1:$F$124,6,0)</f>
        <v>#N/A</v>
      </c>
    </row>
    <row r="125" spans="1:4" x14ac:dyDescent="0.4">
      <c r="A125" t="s">
        <v>249</v>
      </c>
      <c r="B125" t="s">
        <v>250</v>
      </c>
      <c r="C125">
        <v>1</v>
      </c>
      <c r="D125" t="e">
        <f>VLOOKUP(A125,'MusiteDeep-11'!$A$1:$F$124,6,0)</f>
        <v>#N/A</v>
      </c>
    </row>
    <row r="126" spans="1:4" x14ac:dyDescent="0.4">
      <c r="A126" t="s">
        <v>251</v>
      </c>
      <c r="B126" t="s">
        <v>252</v>
      </c>
      <c r="C126">
        <v>1</v>
      </c>
      <c r="D126" t="e">
        <f>VLOOKUP(A126,'MusiteDeep-11'!$A$1:$F$124,6,0)</f>
        <v>#N/A</v>
      </c>
    </row>
    <row r="127" spans="1:4" x14ac:dyDescent="0.4">
      <c r="A127" t="s">
        <v>253</v>
      </c>
      <c r="B127" t="s">
        <v>254</v>
      </c>
      <c r="C127">
        <v>1</v>
      </c>
      <c r="D127" t="e">
        <f>VLOOKUP(A127,'MusiteDeep-11'!$A$1:$F$124,6,0)</f>
        <v>#N/A</v>
      </c>
    </row>
    <row r="128" spans="1:4" x14ac:dyDescent="0.4">
      <c r="A128" t="s">
        <v>255</v>
      </c>
      <c r="B128" t="s">
        <v>256</v>
      </c>
      <c r="C128">
        <v>1</v>
      </c>
      <c r="D128">
        <f>VLOOKUP(A128,'MusiteDeep-11'!$A$1:$F$124,6,0)</f>
        <v>0</v>
      </c>
    </row>
    <row r="129" spans="1:4" x14ac:dyDescent="0.4">
      <c r="A129" t="s">
        <v>257</v>
      </c>
      <c r="B129" t="s">
        <v>258</v>
      </c>
      <c r="C129">
        <v>1</v>
      </c>
      <c r="D129" t="e">
        <f>VLOOKUP(A129,'MusiteDeep-11'!$A$1:$F$124,6,0)</f>
        <v>#N/A</v>
      </c>
    </row>
    <row r="130" spans="1:4" x14ac:dyDescent="0.4">
      <c r="A130" t="s">
        <v>259</v>
      </c>
      <c r="B130" t="s">
        <v>260</v>
      </c>
      <c r="C130">
        <v>1</v>
      </c>
      <c r="D130" t="e">
        <f>VLOOKUP(A130,'MusiteDeep-11'!$A$1:$F$124,6,0)</f>
        <v>#N/A</v>
      </c>
    </row>
    <row r="131" spans="1:4" x14ac:dyDescent="0.4">
      <c r="A131" t="s">
        <v>261</v>
      </c>
      <c r="B131" t="s">
        <v>262</v>
      </c>
      <c r="C131">
        <v>1</v>
      </c>
      <c r="D131" t="e">
        <f>VLOOKUP(A131,'MusiteDeep-11'!$A$1:$F$124,6,0)</f>
        <v>#N/A</v>
      </c>
    </row>
    <row r="132" spans="1:4" x14ac:dyDescent="0.4">
      <c r="A132" t="s">
        <v>263</v>
      </c>
      <c r="B132" t="s">
        <v>264</v>
      </c>
      <c r="C132">
        <v>1</v>
      </c>
      <c r="D132" t="e">
        <f>VLOOKUP(A132,'MusiteDeep-11'!$A$1:$F$124,6,0)</f>
        <v>#N/A</v>
      </c>
    </row>
    <row r="133" spans="1:4" x14ac:dyDescent="0.4">
      <c r="A133" t="s">
        <v>265</v>
      </c>
      <c r="B133" t="s">
        <v>266</v>
      </c>
      <c r="C133">
        <v>1</v>
      </c>
      <c r="D133" t="e">
        <f>VLOOKUP(A133,'MusiteDeep-11'!$A$1:$F$124,6,0)</f>
        <v>#N/A</v>
      </c>
    </row>
    <row r="134" spans="1:4" x14ac:dyDescent="0.4">
      <c r="A134" t="s">
        <v>267</v>
      </c>
      <c r="B134" t="s">
        <v>268</v>
      </c>
      <c r="C134">
        <v>1</v>
      </c>
      <c r="D134" t="e">
        <f>VLOOKUP(A134,'MusiteDeep-11'!$A$1:$F$124,6,0)</f>
        <v>#N/A</v>
      </c>
    </row>
    <row r="135" spans="1:4" x14ac:dyDescent="0.4">
      <c r="A135" t="s">
        <v>269</v>
      </c>
      <c r="B135" t="s">
        <v>270</v>
      </c>
      <c r="C135">
        <v>1</v>
      </c>
      <c r="D135" t="e">
        <f>VLOOKUP(A135,'MusiteDeep-11'!$A$1:$F$124,6,0)</f>
        <v>#N/A</v>
      </c>
    </row>
    <row r="136" spans="1:4" x14ac:dyDescent="0.4">
      <c r="A136" t="s">
        <v>271</v>
      </c>
      <c r="B136" t="s">
        <v>272</v>
      </c>
      <c r="C136">
        <v>1</v>
      </c>
      <c r="D136" t="e">
        <f>VLOOKUP(A136,'MusiteDeep-11'!$A$1:$F$124,6,0)</f>
        <v>#N/A</v>
      </c>
    </row>
    <row r="137" spans="1:4" x14ac:dyDescent="0.4">
      <c r="A137" t="s">
        <v>273</v>
      </c>
      <c r="B137" t="s">
        <v>274</v>
      </c>
      <c r="C137">
        <v>1</v>
      </c>
      <c r="D137" t="e">
        <f>VLOOKUP(A137,'MusiteDeep-11'!$A$1:$F$124,6,0)</f>
        <v>#N/A</v>
      </c>
    </row>
    <row r="138" spans="1:4" x14ac:dyDescent="0.4">
      <c r="A138" t="s">
        <v>275</v>
      </c>
      <c r="B138" t="s">
        <v>276</v>
      </c>
      <c r="C138">
        <v>1</v>
      </c>
      <c r="D138" t="e">
        <f>VLOOKUP(A138,'MusiteDeep-11'!$A$1:$F$124,6,0)</f>
        <v>#N/A</v>
      </c>
    </row>
    <row r="139" spans="1:4" x14ac:dyDescent="0.4">
      <c r="A139" t="s">
        <v>277</v>
      </c>
      <c r="B139" t="s">
        <v>278</v>
      </c>
      <c r="C139">
        <v>1</v>
      </c>
      <c r="D139" t="e">
        <f>VLOOKUP(A139,'MusiteDeep-11'!$A$1:$F$124,6,0)</f>
        <v>#N/A</v>
      </c>
    </row>
    <row r="140" spans="1:4" x14ac:dyDescent="0.4">
      <c r="A140" t="s">
        <v>279</v>
      </c>
      <c r="B140" t="s">
        <v>280</v>
      </c>
      <c r="C140">
        <v>1</v>
      </c>
      <c r="D140" t="e">
        <f>VLOOKUP(A140,'MusiteDeep-11'!$A$1:$F$124,6,0)</f>
        <v>#N/A</v>
      </c>
    </row>
    <row r="141" spans="1:4" x14ac:dyDescent="0.4">
      <c r="A141" t="s">
        <v>281</v>
      </c>
      <c r="B141" t="s">
        <v>282</v>
      </c>
      <c r="C141">
        <v>1</v>
      </c>
      <c r="D141" t="e">
        <f>VLOOKUP(A141,'MusiteDeep-11'!$A$1:$F$124,6,0)</f>
        <v>#N/A</v>
      </c>
    </row>
    <row r="142" spans="1:4" x14ac:dyDescent="0.4">
      <c r="A142" t="s">
        <v>283</v>
      </c>
      <c r="B142" t="s">
        <v>284</v>
      </c>
      <c r="C142">
        <v>1</v>
      </c>
      <c r="D142" t="e">
        <f>VLOOKUP(A142,'MusiteDeep-11'!$A$1:$F$124,6,0)</f>
        <v>#N/A</v>
      </c>
    </row>
    <row r="143" spans="1:4" x14ac:dyDescent="0.4">
      <c r="A143" t="s">
        <v>285</v>
      </c>
      <c r="B143" t="s">
        <v>286</v>
      </c>
      <c r="C143">
        <v>1</v>
      </c>
      <c r="D143" t="e">
        <f>VLOOKUP(A143,'MusiteDeep-11'!$A$1:$F$124,6,0)</f>
        <v>#N/A</v>
      </c>
    </row>
    <row r="144" spans="1:4" x14ac:dyDescent="0.4">
      <c r="A144" t="s">
        <v>287</v>
      </c>
      <c r="B144" t="s">
        <v>288</v>
      </c>
      <c r="C144">
        <v>1</v>
      </c>
      <c r="D144">
        <f>VLOOKUP(A144,'MusiteDeep-11'!$A$1:$F$124,6,0)</f>
        <v>1</v>
      </c>
    </row>
    <row r="145" spans="1:4" x14ac:dyDescent="0.4">
      <c r="A145" t="s">
        <v>289</v>
      </c>
      <c r="B145" t="s">
        <v>290</v>
      </c>
      <c r="C145">
        <v>1</v>
      </c>
      <c r="D145" t="e">
        <f>VLOOKUP(A145,'MusiteDeep-11'!$A$1:$F$124,6,0)</f>
        <v>#N/A</v>
      </c>
    </row>
    <row r="146" spans="1:4" x14ac:dyDescent="0.4">
      <c r="A146" t="s">
        <v>291</v>
      </c>
      <c r="B146" t="s">
        <v>292</v>
      </c>
      <c r="C146">
        <v>1</v>
      </c>
      <c r="D146" t="e">
        <f>VLOOKUP(A146,'MusiteDeep-11'!$A$1:$F$124,6,0)</f>
        <v>#N/A</v>
      </c>
    </row>
    <row r="147" spans="1:4" x14ac:dyDescent="0.4">
      <c r="A147" t="s">
        <v>293</v>
      </c>
      <c r="B147" t="s">
        <v>294</v>
      </c>
      <c r="C147">
        <v>1</v>
      </c>
      <c r="D147" t="e">
        <f>VLOOKUP(A147,'MusiteDeep-11'!$A$1:$F$124,6,0)</f>
        <v>#N/A</v>
      </c>
    </row>
    <row r="148" spans="1:4" x14ac:dyDescent="0.4">
      <c r="A148" t="s">
        <v>295</v>
      </c>
      <c r="B148" t="s">
        <v>296</v>
      </c>
      <c r="C148">
        <v>1</v>
      </c>
      <c r="D148" t="e">
        <f>VLOOKUP(A148,'MusiteDeep-11'!$A$1:$F$124,6,0)</f>
        <v>#N/A</v>
      </c>
    </row>
    <row r="149" spans="1:4" x14ac:dyDescent="0.4">
      <c r="A149" t="s">
        <v>297</v>
      </c>
      <c r="B149" t="s">
        <v>298</v>
      </c>
      <c r="C149">
        <v>1</v>
      </c>
      <c r="D149" t="e">
        <f>VLOOKUP(A149,'MusiteDeep-11'!$A$1:$F$124,6,0)</f>
        <v>#N/A</v>
      </c>
    </row>
    <row r="150" spans="1:4" x14ac:dyDescent="0.4">
      <c r="A150" t="s">
        <v>299</v>
      </c>
      <c r="B150" t="s">
        <v>300</v>
      </c>
      <c r="C150">
        <v>1</v>
      </c>
      <c r="D150" t="e">
        <f>VLOOKUP(A150,'MusiteDeep-11'!$A$1:$F$124,6,0)</f>
        <v>#N/A</v>
      </c>
    </row>
    <row r="151" spans="1:4" x14ac:dyDescent="0.4">
      <c r="A151" t="s">
        <v>301</v>
      </c>
      <c r="B151" t="s">
        <v>302</v>
      </c>
      <c r="C151">
        <v>1</v>
      </c>
      <c r="D151" t="e">
        <f>VLOOKUP(A151,'MusiteDeep-11'!$A$1:$F$124,6,0)</f>
        <v>#N/A</v>
      </c>
    </row>
    <row r="152" spans="1:4" x14ac:dyDescent="0.4">
      <c r="A152" t="s">
        <v>303</v>
      </c>
      <c r="B152" t="s">
        <v>304</v>
      </c>
      <c r="C152">
        <v>1</v>
      </c>
      <c r="D152" t="e">
        <f>VLOOKUP(A152,'MusiteDeep-11'!$A$1:$F$124,6,0)</f>
        <v>#N/A</v>
      </c>
    </row>
    <row r="153" spans="1:4" x14ac:dyDescent="0.4">
      <c r="A153" t="s">
        <v>305</v>
      </c>
      <c r="B153" t="s">
        <v>306</v>
      </c>
      <c r="C153">
        <v>1</v>
      </c>
      <c r="D153" t="e">
        <f>VLOOKUP(A153,'MusiteDeep-11'!$A$1:$F$124,6,0)</f>
        <v>#N/A</v>
      </c>
    </row>
    <row r="154" spans="1:4" x14ac:dyDescent="0.4">
      <c r="A154" t="s">
        <v>307</v>
      </c>
      <c r="B154" t="s">
        <v>308</v>
      </c>
      <c r="C154">
        <v>1</v>
      </c>
      <c r="D154">
        <f>VLOOKUP(A154,'MusiteDeep-11'!$A$1:$F$124,6,0)</f>
        <v>1</v>
      </c>
    </row>
    <row r="155" spans="1:4" x14ac:dyDescent="0.4">
      <c r="A155" t="s">
        <v>309</v>
      </c>
      <c r="B155" t="s">
        <v>310</v>
      </c>
      <c r="C155">
        <v>1</v>
      </c>
      <c r="D155" t="e">
        <f>VLOOKUP(A155,'MusiteDeep-11'!$A$1:$F$124,6,0)</f>
        <v>#N/A</v>
      </c>
    </row>
    <row r="156" spans="1:4" x14ac:dyDescent="0.4">
      <c r="A156" t="s">
        <v>311</v>
      </c>
      <c r="B156" t="s">
        <v>312</v>
      </c>
      <c r="C156">
        <v>1</v>
      </c>
      <c r="D156" t="e">
        <f>VLOOKUP(A156,'MusiteDeep-11'!$A$1:$F$124,6,0)</f>
        <v>#N/A</v>
      </c>
    </row>
    <row r="157" spans="1:4" x14ac:dyDescent="0.4">
      <c r="A157" t="s">
        <v>313</v>
      </c>
      <c r="B157" t="s">
        <v>314</v>
      </c>
      <c r="C157">
        <v>1</v>
      </c>
      <c r="D157" t="e">
        <f>VLOOKUP(A157,'MusiteDeep-11'!$A$1:$F$124,6,0)</f>
        <v>#N/A</v>
      </c>
    </row>
    <row r="158" spans="1:4" x14ac:dyDescent="0.4">
      <c r="A158" t="s">
        <v>315</v>
      </c>
      <c r="B158" t="s">
        <v>316</v>
      </c>
      <c r="C158">
        <v>1</v>
      </c>
      <c r="D158" t="e">
        <f>VLOOKUP(A158,'MusiteDeep-11'!$A$1:$F$124,6,0)</f>
        <v>#N/A</v>
      </c>
    </row>
    <row r="159" spans="1:4" x14ac:dyDescent="0.4">
      <c r="A159" t="s">
        <v>317</v>
      </c>
      <c r="B159" t="s">
        <v>318</v>
      </c>
      <c r="C159">
        <v>1</v>
      </c>
      <c r="D159" t="e">
        <f>VLOOKUP(A159,'MusiteDeep-11'!$A$1:$F$124,6,0)</f>
        <v>#N/A</v>
      </c>
    </row>
    <row r="160" spans="1:4" x14ac:dyDescent="0.4">
      <c r="A160" t="s">
        <v>319</v>
      </c>
      <c r="B160" t="s">
        <v>320</v>
      </c>
      <c r="C160">
        <v>1</v>
      </c>
      <c r="D160" t="e">
        <f>VLOOKUP(A160,'MusiteDeep-11'!$A$1:$F$124,6,0)</f>
        <v>#N/A</v>
      </c>
    </row>
    <row r="161" spans="1:4" x14ac:dyDescent="0.4">
      <c r="A161" t="s">
        <v>321</v>
      </c>
      <c r="B161" t="s">
        <v>322</v>
      </c>
      <c r="C161">
        <v>1</v>
      </c>
      <c r="D161" t="e">
        <f>VLOOKUP(A161,'MusiteDeep-11'!$A$1:$F$124,6,0)</f>
        <v>#N/A</v>
      </c>
    </row>
    <row r="162" spans="1:4" x14ac:dyDescent="0.4">
      <c r="A162" t="s">
        <v>323</v>
      </c>
      <c r="B162" t="s">
        <v>324</v>
      </c>
      <c r="C162">
        <v>1</v>
      </c>
      <c r="D162">
        <f>VLOOKUP(A162,'MusiteDeep-11'!$A$1:$F$124,6,0)</f>
        <v>1</v>
      </c>
    </row>
    <row r="163" spans="1:4" x14ac:dyDescent="0.4">
      <c r="A163" t="s">
        <v>325</v>
      </c>
      <c r="B163" t="s">
        <v>326</v>
      </c>
      <c r="C163">
        <v>1</v>
      </c>
      <c r="D163" t="e">
        <f>VLOOKUP(A163,'MusiteDeep-11'!$A$1:$F$124,6,0)</f>
        <v>#N/A</v>
      </c>
    </row>
    <row r="164" spans="1:4" x14ac:dyDescent="0.4">
      <c r="A164" t="s">
        <v>327</v>
      </c>
      <c r="B164" t="s">
        <v>328</v>
      </c>
      <c r="C164">
        <v>1</v>
      </c>
      <c r="D164" t="e">
        <f>VLOOKUP(A164,'MusiteDeep-11'!$A$1:$F$124,6,0)</f>
        <v>#N/A</v>
      </c>
    </row>
    <row r="165" spans="1:4" x14ac:dyDescent="0.4">
      <c r="A165" t="s">
        <v>329</v>
      </c>
      <c r="B165" t="s">
        <v>330</v>
      </c>
      <c r="C165">
        <v>1</v>
      </c>
      <c r="D165" t="e">
        <f>VLOOKUP(A165,'MusiteDeep-11'!$A$1:$F$124,6,0)</f>
        <v>#N/A</v>
      </c>
    </row>
    <row r="166" spans="1:4" x14ac:dyDescent="0.4">
      <c r="A166" t="s">
        <v>331</v>
      </c>
      <c r="B166" t="s">
        <v>332</v>
      </c>
      <c r="C166">
        <v>1</v>
      </c>
      <c r="D166">
        <f>VLOOKUP(A166,'MusiteDeep-11'!$A$1:$F$124,6,0)</f>
        <v>1</v>
      </c>
    </row>
    <row r="167" spans="1:4" x14ac:dyDescent="0.4">
      <c r="A167" t="s">
        <v>333</v>
      </c>
      <c r="B167" t="s">
        <v>334</v>
      </c>
      <c r="C167">
        <v>1</v>
      </c>
      <c r="D167" t="e">
        <f>VLOOKUP(A167,'MusiteDeep-11'!$A$1:$F$124,6,0)</f>
        <v>#N/A</v>
      </c>
    </row>
    <row r="168" spans="1:4" x14ac:dyDescent="0.4">
      <c r="A168" t="s">
        <v>335</v>
      </c>
      <c r="B168" t="s">
        <v>336</v>
      </c>
      <c r="C168">
        <v>1</v>
      </c>
      <c r="D168" t="e">
        <f>VLOOKUP(A168,'MusiteDeep-11'!$A$1:$F$124,6,0)</f>
        <v>#N/A</v>
      </c>
    </row>
    <row r="169" spans="1:4" x14ac:dyDescent="0.4">
      <c r="A169" t="s">
        <v>337</v>
      </c>
      <c r="B169" t="s">
        <v>338</v>
      </c>
      <c r="C169">
        <v>1</v>
      </c>
      <c r="D169" t="e">
        <f>VLOOKUP(A169,'MusiteDeep-11'!$A$1:$F$124,6,0)</f>
        <v>#N/A</v>
      </c>
    </row>
    <row r="170" spans="1:4" x14ac:dyDescent="0.4">
      <c r="A170" t="s">
        <v>339</v>
      </c>
      <c r="B170" t="s">
        <v>340</v>
      </c>
      <c r="C170">
        <v>1</v>
      </c>
      <c r="D170" t="e">
        <f>VLOOKUP(A170,'MusiteDeep-11'!$A$1:$F$124,6,0)</f>
        <v>#N/A</v>
      </c>
    </row>
    <row r="171" spans="1:4" x14ac:dyDescent="0.4">
      <c r="A171" t="s">
        <v>341</v>
      </c>
      <c r="B171" t="s">
        <v>342</v>
      </c>
      <c r="C171">
        <v>1</v>
      </c>
      <c r="D171" t="e">
        <f>VLOOKUP(A171,'MusiteDeep-11'!$A$1:$F$124,6,0)</f>
        <v>#N/A</v>
      </c>
    </row>
    <row r="172" spans="1:4" x14ac:dyDescent="0.4">
      <c r="A172" t="s">
        <v>343</v>
      </c>
      <c r="B172" t="s">
        <v>344</v>
      </c>
      <c r="C172">
        <v>1</v>
      </c>
      <c r="D172" t="e">
        <f>VLOOKUP(A172,'MusiteDeep-11'!$A$1:$F$124,6,0)</f>
        <v>#N/A</v>
      </c>
    </row>
    <row r="173" spans="1:4" x14ac:dyDescent="0.4">
      <c r="A173" t="s">
        <v>345</v>
      </c>
      <c r="B173" t="s">
        <v>346</v>
      </c>
      <c r="C173">
        <v>1</v>
      </c>
      <c r="D173" t="e">
        <f>VLOOKUP(A173,'MusiteDeep-11'!$A$1:$F$124,6,0)</f>
        <v>#N/A</v>
      </c>
    </row>
    <row r="174" spans="1:4" x14ac:dyDescent="0.4">
      <c r="A174" t="s">
        <v>347</v>
      </c>
      <c r="B174" t="s">
        <v>348</v>
      </c>
      <c r="C174">
        <v>1</v>
      </c>
      <c r="D174" t="e">
        <f>VLOOKUP(A174,'MusiteDeep-11'!$A$1:$F$124,6,0)</f>
        <v>#N/A</v>
      </c>
    </row>
    <row r="175" spans="1:4" x14ac:dyDescent="0.4">
      <c r="A175" t="s">
        <v>349</v>
      </c>
      <c r="B175" t="s">
        <v>350</v>
      </c>
      <c r="C175">
        <v>1</v>
      </c>
      <c r="D175" t="e">
        <f>VLOOKUP(A175,'MusiteDeep-11'!$A$1:$F$124,6,0)</f>
        <v>#N/A</v>
      </c>
    </row>
    <row r="176" spans="1:4" x14ac:dyDescent="0.4">
      <c r="A176" t="s">
        <v>351</v>
      </c>
      <c r="B176" t="s">
        <v>352</v>
      </c>
      <c r="C176">
        <v>1</v>
      </c>
      <c r="D176" t="e">
        <f>VLOOKUP(A176,'MusiteDeep-11'!$A$1:$F$124,6,0)</f>
        <v>#N/A</v>
      </c>
    </row>
    <row r="177" spans="1:4" x14ac:dyDescent="0.4">
      <c r="A177" t="s">
        <v>353</v>
      </c>
      <c r="B177" t="s">
        <v>354</v>
      </c>
      <c r="C177">
        <v>1</v>
      </c>
      <c r="D177" t="e">
        <f>VLOOKUP(A177,'MusiteDeep-11'!$A$1:$F$124,6,0)</f>
        <v>#N/A</v>
      </c>
    </row>
    <row r="178" spans="1:4" x14ac:dyDescent="0.4">
      <c r="A178" t="s">
        <v>355</v>
      </c>
      <c r="B178" t="s">
        <v>356</v>
      </c>
      <c r="C178">
        <v>1</v>
      </c>
      <c r="D178" t="e">
        <f>VLOOKUP(A178,'MusiteDeep-11'!$A$1:$F$124,6,0)</f>
        <v>#N/A</v>
      </c>
    </row>
    <row r="179" spans="1:4" x14ac:dyDescent="0.4">
      <c r="A179" t="s">
        <v>357</v>
      </c>
      <c r="B179" t="s">
        <v>358</v>
      </c>
      <c r="C179">
        <v>1</v>
      </c>
      <c r="D179" t="e">
        <f>VLOOKUP(A179,'MusiteDeep-11'!$A$1:$F$124,6,0)</f>
        <v>#N/A</v>
      </c>
    </row>
    <row r="180" spans="1:4" x14ac:dyDescent="0.4">
      <c r="A180" t="s">
        <v>359</v>
      </c>
      <c r="B180" t="s">
        <v>360</v>
      </c>
      <c r="C180">
        <v>1</v>
      </c>
      <c r="D180" t="e">
        <f>VLOOKUP(A180,'MusiteDeep-11'!$A$1:$F$124,6,0)</f>
        <v>#N/A</v>
      </c>
    </row>
    <row r="181" spans="1:4" x14ac:dyDescent="0.4">
      <c r="A181" t="s">
        <v>361</v>
      </c>
      <c r="B181" t="s">
        <v>362</v>
      </c>
      <c r="C181">
        <v>1</v>
      </c>
      <c r="D181" t="e">
        <f>VLOOKUP(A181,'MusiteDeep-11'!$A$1:$F$124,6,0)</f>
        <v>#N/A</v>
      </c>
    </row>
    <row r="182" spans="1:4" x14ac:dyDescent="0.4">
      <c r="A182" t="s">
        <v>363</v>
      </c>
      <c r="B182" t="s">
        <v>364</v>
      </c>
      <c r="C182">
        <v>1</v>
      </c>
      <c r="D182" t="e">
        <f>VLOOKUP(A182,'MusiteDeep-11'!$A$1:$F$124,6,0)</f>
        <v>#N/A</v>
      </c>
    </row>
    <row r="183" spans="1:4" x14ac:dyDescent="0.4">
      <c r="A183" t="s">
        <v>365</v>
      </c>
      <c r="B183" t="s">
        <v>366</v>
      </c>
      <c r="C183">
        <v>1</v>
      </c>
      <c r="D183" t="e">
        <f>VLOOKUP(A183,'MusiteDeep-11'!$A$1:$F$124,6,0)</f>
        <v>#N/A</v>
      </c>
    </row>
    <row r="184" spans="1:4" x14ac:dyDescent="0.4">
      <c r="A184" t="s">
        <v>367</v>
      </c>
      <c r="B184" t="s">
        <v>368</v>
      </c>
      <c r="C184">
        <v>1</v>
      </c>
      <c r="D184" t="e">
        <f>VLOOKUP(A184,'MusiteDeep-11'!$A$1:$F$124,6,0)</f>
        <v>#N/A</v>
      </c>
    </row>
    <row r="185" spans="1:4" x14ac:dyDescent="0.4">
      <c r="A185" t="s">
        <v>369</v>
      </c>
      <c r="B185" t="s">
        <v>370</v>
      </c>
      <c r="C185">
        <v>1</v>
      </c>
      <c r="D185">
        <f>VLOOKUP(A185,'MusiteDeep-11'!$A$1:$F$124,6,0)</f>
        <v>0</v>
      </c>
    </row>
    <row r="186" spans="1:4" x14ac:dyDescent="0.4">
      <c r="A186" t="s">
        <v>371</v>
      </c>
      <c r="B186" t="s">
        <v>372</v>
      </c>
      <c r="C186">
        <v>1</v>
      </c>
      <c r="D186">
        <f>VLOOKUP(A186,'MusiteDeep-11'!$A$1:$F$124,6,0)</f>
        <v>1</v>
      </c>
    </row>
    <row r="187" spans="1:4" x14ac:dyDescent="0.4">
      <c r="A187" t="s">
        <v>373</v>
      </c>
      <c r="B187" t="s">
        <v>374</v>
      </c>
      <c r="C187">
        <v>1</v>
      </c>
      <c r="D187" t="e">
        <f>VLOOKUP(A187,'MusiteDeep-11'!$A$1:$F$124,6,0)</f>
        <v>#N/A</v>
      </c>
    </row>
    <row r="188" spans="1:4" x14ac:dyDescent="0.4">
      <c r="A188" t="s">
        <v>375</v>
      </c>
      <c r="B188" t="s">
        <v>376</v>
      </c>
      <c r="C188">
        <v>1</v>
      </c>
      <c r="D188" t="e">
        <f>VLOOKUP(A188,'MusiteDeep-11'!$A$1:$F$124,6,0)</f>
        <v>#N/A</v>
      </c>
    </row>
    <row r="189" spans="1:4" x14ac:dyDescent="0.4">
      <c r="A189" t="s">
        <v>377</v>
      </c>
      <c r="B189" t="s">
        <v>378</v>
      </c>
      <c r="C189">
        <v>1</v>
      </c>
      <c r="D189" t="e">
        <f>VLOOKUP(A189,'MusiteDeep-11'!$A$1:$F$124,6,0)</f>
        <v>#N/A</v>
      </c>
    </row>
    <row r="190" spans="1:4" x14ac:dyDescent="0.4">
      <c r="A190" t="s">
        <v>379</v>
      </c>
      <c r="B190" t="s">
        <v>380</v>
      </c>
      <c r="C190">
        <v>1</v>
      </c>
      <c r="D190" t="e">
        <f>VLOOKUP(A190,'MusiteDeep-11'!$A$1:$F$124,6,0)</f>
        <v>#N/A</v>
      </c>
    </row>
    <row r="191" spans="1:4" x14ac:dyDescent="0.4">
      <c r="A191" t="s">
        <v>381</v>
      </c>
      <c r="B191" t="s">
        <v>382</v>
      </c>
      <c r="C191">
        <v>1</v>
      </c>
      <c r="D191" t="e">
        <f>VLOOKUP(A191,'MusiteDeep-11'!$A$1:$F$124,6,0)</f>
        <v>#N/A</v>
      </c>
    </row>
    <row r="192" spans="1:4" x14ac:dyDescent="0.4">
      <c r="A192" t="s">
        <v>383</v>
      </c>
      <c r="B192" t="s">
        <v>384</v>
      </c>
      <c r="C192">
        <v>1</v>
      </c>
      <c r="D192" t="e">
        <f>VLOOKUP(A192,'MusiteDeep-11'!$A$1:$F$124,6,0)</f>
        <v>#N/A</v>
      </c>
    </row>
    <row r="193" spans="1:4" x14ac:dyDescent="0.4">
      <c r="A193" t="s">
        <v>385</v>
      </c>
      <c r="B193" t="s">
        <v>386</v>
      </c>
      <c r="C193">
        <v>1</v>
      </c>
      <c r="D193" t="e">
        <f>VLOOKUP(A193,'MusiteDeep-11'!$A$1:$F$124,6,0)</f>
        <v>#N/A</v>
      </c>
    </row>
    <row r="194" spans="1:4" x14ac:dyDescent="0.4">
      <c r="A194" t="s">
        <v>387</v>
      </c>
      <c r="B194" t="s">
        <v>388</v>
      </c>
      <c r="C194">
        <v>1</v>
      </c>
      <c r="D194" t="e">
        <f>VLOOKUP(A194,'MusiteDeep-11'!$A$1:$F$124,6,0)</f>
        <v>#N/A</v>
      </c>
    </row>
    <row r="195" spans="1:4" x14ac:dyDescent="0.4">
      <c r="A195" t="s">
        <v>389</v>
      </c>
      <c r="B195" t="s">
        <v>390</v>
      </c>
      <c r="C195">
        <v>1</v>
      </c>
      <c r="D195" t="e">
        <f>VLOOKUP(A195,'MusiteDeep-11'!$A$1:$F$124,6,0)</f>
        <v>#N/A</v>
      </c>
    </row>
    <row r="196" spans="1:4" x14ac:dyDescent="0.4">
      <c r="A196" t="s">
        <v>391</v>
      </c>
      <c r="B196" t="s">
        <v>392</v>
      </c>
      <c r="C196">
        <v>1</v>
      </c>
      <c r="D196">
        <f>VLOOKUP(A196,'MusiteDeep-11'!$A$1:$F$124,6,0)</f>
        <v>1</v>
      </c>
    </row>
    <row r="197" spans="1:4" x14ac:dyDescent="0.4">
      <c r="A197" t="s">
        <v>393</v>
      </c>
      <c r="B197" t="s">
        <v>394</v>
      </c>
      <c r="C197">
        <v>1</v>
      </c>
      <c r="D197" t="e">
        <f>VLOOKUP(A197,'MusiteDeep-11'!$A$1:$F$124,6,0)</f>
        <v>#N/A</v>
      </c>
    </row>
    <row r="198" spans="1:4" x14ac:dyDescent="0.4">
      <c r="A198" t="s">
        <v>395</v>
      </c>
      <c r="B198" t="s">
        <v>396</v>
      </c>
      <c r="C198">
        <v>1</v>
      </c>
      <c r="D198">
        <f>VLOOKUP(A198,'MusiteDeep-11'!$A$1:$F$124,6,0)</f>
        <v>1</v>
      </c>
    </row>
    <row r="199" spans="1:4" x14ac:dyDescent="0.4">
      <c r="A199" t="s">
        <v>397</v>
      </c>
      <c r="B199" t="s">
        <v>398</v>
      </c>
      <c r="C199">
        <v>1</v>
      </c>
      <c r="D199">
        <f>VLOOKUP(A199,'MusiteDeep-11'!$A$1:$F$124,6,0)</f>
        <v>1</v>
      </c>
    </row>
    <row r="200" spans="1:4" x14ac:dyDescent="0.4">
      <c r="A200" t="s">
        <v>399</v>
      </c>
      <c r="B200" t="s">
        <v>400</v>
      </c>
      <c r="C200">
        <v>1</v>
      </c>
      <c r="D200">
        <f>VLOOKUP(A200,'MusiteDeep-11'!$A$1:$F$124,6,0)</f>
        <v>0</v>
      </c>
    </row>
    <row r="201" spans="1:4" x14ac:dyDescent="0.4">
      <c r="A201" t="s">
        <v>401</v>
      </c>
      <c r="B201" t="s">
        <v>402</v>
      </c>
      <c r="C201">
        <v>1</v>
      </c>
      <c r="D201">
        <f>VLOOKUP(A201,'MusiteDeep-11'!$A$1:$F$124,6,0)</f>
        <v>1</v>
      </c>
    </row>
    <row r="202" spans="1:4" x14ac:dyDescent="0.4">
      <c r="A202" t="s">
        <v>403</v>
      </c>
      <c r="B202" t="s">
        <v>404</v>
      </c>
      <c r="C202">
        <v>1</v>
      </c>
      <c r="D202" t="e">
        <f>VLOOKUP(A202,'MusiteDeep-11'!$A$1:$F$124,6,0)</f>
        <v>#N/A</v>
      </c>
    </row>
    <row r="203" spans="1:4" x14ac:dyDescent="0.4">
      <c r="A203" t="s">
        <v>405</v>
      </c>
      <c r="B203" t="s">
        <v>406</v>
      </c>
      <c r="C203">
        <v>1</v>
      </c>
      <c r="D203" t="e">
        <f>VLOOKUP(A203,'MusiteDeep-11'!$A$1:$F$124,6,0)</f>
        <v>#N/A</v>
      </c>
    </row>
    <row r="204" spans="1:4" x14ac:dyDescent="0.4">
      <c r="A204" t="s">
        <v>407</v>
      </c>
      <c r="B204" t="s">
        <v>408</v>
      </c>
      <c r="C204">
        <v>1</v>
      </c>
      <c r="D204">
        <f>VLOOKUP(A204,'MusiteDeep-11'!$A$1:$F$124,6,0)</f>
        <v>0</v>
      </c>
    </row>
    <row r="205" spans="1:4" x14ac:dyDescent="0.4">
      <c r="A205" t="s">
        <v>409</v>
      </c>
      <c r="B205" t="s">
        <v>410</v>
      </c>
      <c r="C205">
        <v>1</v>
      </c>
      <c r="D205" t="e">
        <f>VLOOKUP(A205,'MusiteDeep-11'!$A$1:$F$124,6,0)</f>
        <v>#N/A</v>
      </c>
    </row>
    <row r="206" spans="1:4" x14ac:dyDescent="0.4">
      <c r="A206" t="s">
        <v>411</v>
      </c>
      <c r="B206" t="s">
        <v>412</v>
      </c>
      <c r="C206">
        <v>1</v>
      </c>
      <c r="D206" t="e">
        <f>VLOOKUP(A206,'MusiteDeep-11'!$A$1:$F$124,6,0)</f>
        <v>#N/A</v>
      </c>
    </row>
    <row r="207" spans="1:4" x14ac:dyDescent="0.4">
      <c r="A207" t="s">
        <v>413</v>
      </c>
      <c r="B207" t="s">
        <v>414</v>
      </c>
      <c r="C207">
        <v>1</v>
      </c>
      <c r="D207">
        <f>VLOOKUP(A207,'MusiteDeep-11'!$A$1:$F$124,6,0)</f>
        <v>1</v>
      </c>
    </row>
    <row r="208" spans="1:4" x14ac:dyDescent="0.4">
      <c r="A208" t="s">
        <v>415</v>
      </c>
      <c r="B208" t="s">
        <v>416</v>
      </c>
      <c r="C208">
        <v>1</v>
      </c>
      <c r="D208" t="e">
        <f>VLOOKUP(A208,'MusiteDeep-11'!$A$1:$F$124,6,0)</f>
        <v>#N/A</v>
      </c>
    </row>
    <row r="209" spans="1:4" x14ac:dyDescent="0.4">
      <c r="A209" t="s">
        <v>417</v>
      </c>
      <c r="B209" t="s">
        <v>418</v>
      </c>
      <c r="C209">
        <v>1</v>
      </c>
      <c r="D209" t="e">
        <f>VLOOKUP(A209,'MusiteDeep-11'!$A$1:$F$124,6,0)</f>
        <v>#N/A</v>
      </c>
    </row>
    <row r="210" spans="1:4" x14ac:dyDescent="0.4">
      <c r="A210" t="s">
        <v>419</v>
      </c>
      <c r="B210" t="s">
        <v>420</v>
      </c>
      <c r="C210">
        <v>1</v>
      </c>
      <c r="D210" t="e">
        <f>VLOOKUP(A210,'MusiteDeep-11'!$A$1:$F$124,6,0)</f>
        <v>#N/A</v>
      </c>
    </row>
    <row r="211" spans="1:4" x14ac:dyDescent="0.4">
      <c r="A211" t="s">
        <v>421</v>
      </c>
      <c r="B211" t="s">
        <v>422</v>
      </c>
      <c r="C211">
        <v>1</v>
      </c>
      <c r="D211" t="e">
        <f>VLOOKUP(A211,'MusiteDeep-11'!$A$1:$F$124,6,0)</f>
        <v>#N/A</v>
      </c>
    </row>
    <row r="212" spans="1:4" x14ac:dyDescent="0.4">
      <c r="A212" t="s">
        <v>423</v>
      </c>
      <c r="B212" t="s">
        <v>424</v>
      </c>
      <c r="C212">
        <v>1</v>
      </c>
      <c r="D212">
        <f>VLOOKUP(A212,'MusiteDeep-11'!$A$1:$F$124,6,0)</f>
        <v>1</v>
      </c>
    </row>
    <row r="213" spans="1:4" x14ac:dyDescent="0.4">
      <c r="A213" t="s">
        <v>425</v>
      </c>
      <c r="B213" t="s">
        <v>426</v>
      </c>
      <c r="C213">
        <v>1</v>
      </c>
      <c r="D213" t="e">
        <f>VLOOKUP(A213,'MusiteDeep-11'!$A$1:$F$124,6,0)</f>
        <v>#N/A</v>
      </c>
    </row>
    <row r="214" spans="1:4" x14ac:dyDescent="0.4">
      <c r="A214" t="s">
        <v>427</v>
      </c>
      <c r="B214" t="s">
        <v>428</v>
      </c>
      <c r="C214">
        <v>1</v>
      </c>
      <c r="D214" t="e">
        <f>VLOOKUP(A214,'MusiteDeep-11'!$A$1:$F$124,6,0)</f>
        <v>#N/A</v>
      </c>
    </row>
    <row r="215" spans="1:4" x14ac:dyDescent="0.4">
      <c r="A215" t="s">
        <v>429</v>
      </c>
      <c r="B215" t="s">
        <v>430</v>
      </c>
      <c r="C215">
        <v>1</v>
      </c>
      <c r="D215" t="e">
        <f>VLOOKUP(A215,'MusiteDeep-11'!$A$1:$F$124,6,0)</f>
        <v>#N/A</v>
      </c>
    </row>
    <row r="216" spans="1:4" x14ac:dyDescent="0.4">
      <c r="A216" t="s">
        <v>431</v>
      </c>
      <c r="B216" t="s">
        <v>432</v>
      </c>
      <c r="C216">
        <v>1</v>
      </c>
      <c r="D216" t="e">
        <f>VLOOKUP(A216,'MusiteDeep-11'!$A$1:$F$124,6,0)</f>
        <v>#N/A</v>
      </c>
    </row>
    <row r="217" spans="1:4" x14ac:dyDescent="0.4">
      <c r="A217" t="s">
        <v>433</v>
      </c>
      <c r="B217" t="s">
        <v>434</v>
      </c>
      <c r="C217">
        <v>1</v>
      </c>
      <c r="D217" t="e">
        <f>VLOOKUP(A217,'MusiteDeep-11'!$A$1:$F$124,6,0)</f>
        <v>#N/A</v>
      </c>
    </row>
    <row r="218" spans="1:4" x14ac:dyDescent="0.4">
      <c r="A218" t="s">
        <v>435</v>
      </c>
      <c r="B218" t="s">
        <v>436</v>
      </c>
      <c r="C218">
        <v>1</v>
      </c>
      <c r="D218">
        <f>VLOOKUP(A218,'MusiteDeep-11'!$A$1:$F$124,6,0)</f>
        <v>1</v>
      </c>
    </row>
    <row r="219" spans="1:4" x14ac:dyDescent="0.4">
      <c r="A219" t="s">
        <v>437</v>
      </c>
      <c r="B219" t="s">
        <v>438</v>
      </c>
      <c r="C219">
        <v>1</v>
      </c>
      <c r="D219">
        <f>VLOOKUP(A219,'MusiteDeep-11'!$A$1:$F$124,6,0)</f>
        <v>1</v>
      </c>
    </row>
    <row r="220" spans="1:4" x14ac:dyDescent="0.4">
      <c r="A220" t="s">
        <v>439</v>
      </c>
      <c r="B220" t="s">
        <v>440</v>
      </c>
      <c r="C220">
        <v>1</v>
      </c>
      <c r="D220">
        <f>VLOOKUP(A220,'MusiteDeep-11'!$A$1:$F$124,6,0)</f>
        <v>1</v>
      </c>
    </row>
    <row r="221" spans="1:4" x14ac:dyDescent="0.4">
      <c r="A221" t="s">
        <v>441</v>
      </c>
      <c r="B221" t="s">
        <v>442</v>
      </c>
      <c r="C221">
        <v>1</v>
      </c>
      <c r="D221" t="e">
        <f>VLOOKUP(A221,'MusiteDeep-11'!$A$1:$F$124,6,0)</f>
        <v>#N/A</v>
      </c>
    </row>
    <row r="222" spans="1:4" x14ac:dyDescent="0.4">
      <c r="A222" t="s">
        <v>443</v>
      </c>
      <c r="B222" t="s">
        <v>444</v>
      </c>
      <c r="C222">
        <v>1</v>
      </c>
      <c r="D222" t="e">
        <f>VLOOKUP(A222,'MusiteDeep-11'!$A$1:$F$124,6,0)</f>
        <v>#N/A</v>
      </c>
    </row>
    <row r="223" spans="1:4" x14ac:dyDescent="0.4">
      <c r="A223" t="s">
        <v>445</v>
      </c>
      <c r="B223" t="s">
        <v>446</v>
      </c>
      <c r="C223">
        <v>1</v>
      </c>
      <c r="D223" t="e">
        <f>VLOOKUP(A223,'MusiteDeep-11'!$A$1:$F$124,6,0)</f>
        <v>#N/A</v>
      </c>
    </row>
    <row r="224" spans="1:4" x14ac:dyDescent="0.4">
      <c r="A224" t="s">
        <v>447</v>
      </c>
      <c r="B224" t="s">
        <v>448</v>
      </c>
      <c r="C224">
        <v>1</v>
      </c>
      <c r="D224" t="e">
        <f>VLOOKUP(A224,'MusiteDeep-11'!$A$1:$F$124,6,0)</f>
        <v>#N/A</v>
      </c>
    </row>
    <row r="225" spans="1:4" x14ac:dyDescent="0.4">
      <c r="A225" t="s">
        <v>449</v>
      </c>
      <c r="B225" t="s">
        <v>450</v>
      </c>
      <c r="C225">
        <v>1</v>
      </c>
      <c r="D225" t="e">
        <f>VLOOKUP(A225,'MusiteDeep-11'!$A$1:$F$124,6,0)</f>
        <v>#N/A</v>
      </c>
    </row>
    <row r="226" spans="1:4" x14ac:dyDescent="0.4">
      <c r="A226" t="s">
        <v>451</v>
      </c>
      <c r="B226" t="s">
        <v>452</v>
      </c>
      <c r="C226">
        <v>1</v>
      </c>
      <c r="D226" t="e">
        <f>VLOOKUP(A226,'MusiteDeep-11'!$A$1:$F$124,6,0)</f>
        <v>#N/A</v>
      </c>
    </row>
    <row r="227" spans="1:4" x14ac:dyDescent="0.4">
      <c r="A227" t="s">
        <v>453</v>
      </c>
      <c r="B227" t="s">
        <v>454</v>
      </c>
      <c r="C227">
        <v>1</v>
      </c>
      <c r="D227" t="e">
        <f>VLOOKUP(A227,'MusiteDeep-11'!$A$1:$F$124,6,0)</f>
        <v>#N/A</v>
      </c>
    </row>
    <row r="228" spans="1:4" x14ac:dyDescent="0.4">
      <c r="A228" t="s">
        <v>455</v>
      </c>
      <c r="B228" t="s">
        <v>456</v>
      </c>
      <c r="C228">
        <v>1</v>
      </c>
      <c r="D228" t="e">
        <f>VLOOKUP(A228,'MusiteDeep-11'!$A$1:$F$124,6,0)</f>
        <v>#N/A</v>
      </c>
    </row>
    <row r="229" spans="1:4" x14ac:dyDescent="0.4">
      <c r="A229" t="s">
        <v>457</v>
      </c>
      <c r="B229" t="s">
        <v>458</v>
      </c>
      <c r="C229">
        <v>1</v>
      </c>
      <c r="D229" t="e">
        <f>VLOOKUP(A229,'MusiteDeep-11'!$A$1:$F$124,6,0)</f>
        <v>#N/A</v>
      </c>
    </row>
    <row r="230" spans="1:4" x14ac:dyDescent="0.4">
      <c r="A230" t="s">
        <v>459</v>
      </c>
      <c r="B230" t="s">
        <v>460</v>
      </c>
      <c r="C230">
        <v>1</v>
      </c>
      <c r="D230">
        <f>VLOOKUP(A230,'MusiteDeep-11'!$A$1:$F$124,6,0)</f>
        <v>0</v>
      </c>
    </row>
    <row r="231" spans="1:4" x14ac:dyDescent="0.4">
      <c r="A231" t="s">
        <v>461</v>
      </c>
      <c r="B231" t="s">
        <v>462</v>
      </c>
      <c r="C231">
        <v>1</v>
      </c>
      <c r="D231" t="e">
        <f>VLOOKUP(A231,'MusiteDeep-11'!$A$1:$F$124,6,0)</f>
        <v>#N/A</v>
      </c>
    </row>
    <row r="232" spans="1:4" x14ac:dyDescent="0.4">
      <c r="A232" t="s">
        <v>463</v>
      </c>
      <c r="B232" t="s">
        <v>464</v>
      </c>
      <c r="C232">
        <v>1</v>
      </c>
      <c r="D232" t="e">
        <f>VLOOKUP(A232,'MusiteDeep-11'!$A$1:$F$124,6,0)</f>
        <v>#N/A</v>
      </c>
    </row>
    <row r="233" spans="1:4" x14ac:dyDescent="0.4">
      <c r="A233" t="s">
        <v>465</v>
      </c>
      <c r="B233" t="s">
        <v>466</v>
      </c>
      <c r="C233">
        <v>1</v>
      </c>
      <c r="D233" t="e">
        <f>VLOOKUP(A233,'MusiteDeep-11'!$A$1:$F$124,6,0)</f>
        <v>#N/A</v>
      </c>
    </row>
    <row r="234" spans="1:4" x14ac:dyDescent="0.4">
      <c r="A234" t="s">
        <v>467</v>
      </c>
      <c r="B234" t="s">
        <v>468</v>
      </c>
      <c r="C234">
        <v>1</v>
      </c>
      <c r="D234" t="e">
        <f>VLOOKUP(A234,'MusiteDeep-11'!$A$1:$F$124,6,0)</f>
        <v>#N/A</v>
      </c>
    </row>
    <row r="235" spans="1:4" x14ac:dyDescent="0.4">
      <c r="A235" t="s">
        <v>469</v>
      </c>
      <c r="B235" t="s">
        <v>470</v>
      </c>
      <c r="C235">
        <v>1</v>
      </c>
      <c r="D235" t="e">
        <f>VLOOKUP(A235,'MusiteDeep-11'!$A$1:$F$124,6,0)</f>
        <v>#N/A</v>
      </c>
    </row>
    <row r="236" spans="1:4" x14ac:dyDescent="0.4">
      <c r="A236" t="s">
        <v>471</v>
      </c>
      <c r="B236" t="s">
        <v>472</v>
      </c>
      <c r="C236">
        <v>1</v>
      </c>
      <c r="D236" t="e">
        <f>VLOOKUP(A236,'MusiteDeep-11'!$A$1:$F$124,6,0)</f>
        <v>#N/A</v>
      </c>
    </row>
    <row r="237" spans="1:4" x14ac:dyDescent="0.4">
      <c r="A237" t="s">
        <v>473</v>
      </c>
      <c r="B237" t="s">
        <v>474</v>
      </c>
      <c r="C237">
        <v>1</v>
      </c>
      <c r="D237" t="e">
        <f>VLOOKUP(A237,'MusiteDeep-11'!$A$1:$F$124,6,0)</f>
        <v>#N/A</v>
      </c>
    </row>
    <row r="238" spans="1:4" x14ac:dyDescent="0.4">
      <c r="A238" t="s">
        <v>475</v>
      </c>
      <c r="B238" t="s">
        <v>476</v>
      </c>
      <c r="C238">
        <v>1</v>
      </c>
      <c r="D238" t="e">
        <f>VLOOKUP(A238,'MusiteDeep-11'!$A$1:$F$124,6,0)</f>
        <v>#N/A</v>
      </c>
    </row>
    <row r="239" spans="1:4" x14ac:dyDescent="0.4">
      <c r="A239" t="s">
        <v>477</v>
      </c>
      <c r="B239" t="s">
        <v>478</v>
      </c>
      <c r="C239">
        <v>1</v>
      </c>
      <c r="D239" t="e">
        <f>VLOOKUP(A239,'MusiteDeep-11'!$A$1:$F$124,6,0)</f>
        <v>#N/A</v>
      </c>
    </row>
    <row r="240" spans="1:4" x14ac:dyDescent="0.4">
      <c r="A240" t="s">
        <v>479</v>
      </c>
      <c r="B240" t="s">
        <v>480</v>
      </c>
      <c r="C240">
        <v>1</v>
      </c>
      <c r="D240" t="e">
        <f>VLOOKUP(A240,'MusiteDeep-11'!$A$1:$F$124,6,0)</f>
        <v>#N/A</v>
      </c>
    </row>
    <row r="241" spans="1:4" x14ac:dyDescent="0.4">
      <c r="A241" t="s">
        <v>481</v>
      </c>
      <c r="B241" t="s">
        <v>482</v>
      </c>
      <c r="C241">
        <v>1</v>
      </c>
      <c r="D241" t="e">
        <f>VLOOKUP(A241,'MusiteDeep-11'!$A$1:$F$124,6,0)</f>
        <v>#N/A</v>
      </c>
    </row>
    <row r="242" spans="1:4" x14ac:dyDescent="0.4">
      <c r="A242" t="s">
        <v>483</v>
      </c>
      <c r="B242" t="s">
        <v>484</v>
      </c>
      <c r="C242">
        <v>1</v>
      </c>
      <c r="D242">
        <f>VLOOKUP(A242,'MusiteDeep-11'!$A$1:$F$124,6,0)</f>
        <v>1</v>
      </c>
    </row>
    <row r="243" spans="1:4" x14ac:dyDescent="0.4">
      <c r="A243" t="s">
        <v>485</v>
      </c>
      <c r="B243" t="s">
        <v>486</v>
      </c>
      <c r="C243">
        <v>1</v>
      </c>
      <c r="D243" t="e">
        <f>VLOOKUP(A243,'MusiteDeep-11'!$A$1:$F$124,6,0)</f>
        <v>#N/A</v>
      </c>
    </row>
    <row r="244" spans="1:4" x14ac:dyDescent="0.4">
      <c r="A244" t="s">
        <v>487</v>
      </c>
      <c r="B244" t="s">
        <v>488</v>
      </c>
      <c r="C244">
        <v>1</v>
      </c>
      <c r="D244" t="e">
        <f>VLOOKUP(A244,'MusiteDeep-11'!$A$1:$F$124,6,0)</f>
        <v>#N/A</v>
      </c>
    </row>
    <row r="245" spans="1:4" x14ac:dyDescent="0.4">
      <c r="A245" t="s">
        <v>489</v>
      </c>
      <c r="B245" t="s">
        <v>490</v>
      </c>
      <c r="C245">
        <v>1</v>
      </c>
      <c r="D245" t="e">
        <f>VLOOKUP(A245,'MusiteDeep-11'!$A$1:$F$124,6,0)</f>
        <v>#N/A</v>
      </c>
    </row>
    <row r="246" spans="1:4" x14ac:dyDescent="0.4">
      <c r="A246" t="s">
        <v>491</v>
      </c>
      <c r="B246" t="s">
        <v>492</v>
      </c>
      <c r="C246">
        <v>1</v>
      </c>
      <c r="D246" t="e">
        <f>VLOOKUP(A246,'MusiteDeep-11'!$A$1:$F$124,6,0)</f>
        <v>#N/A</v>
      </c>
    </row>
    <row r="247" spans="1:4" x14ac:dyDescent="0.4">
      <c r="A247" t="s">
        <v>493</v>
      </c>
      <c r="B247" t="s">
        <v>494</v>
      </c>
      <c r="C247">
        <v>1</v>
      </c>
      <c r="D247" t="e">
        <f>VLOOKUP(A247,'MusiteDeep-11'!$A$1:$F$124,6,0)</f>
        <v>#N/A</v>
      </c>
    </row>
    <row r="248" spans="1:4" x14ac:dyDescent="0.4">
      <c r="A248" t="s">
        <v>495</v>
      </c>
      <c r="B248" t="s">
        <v>496</v>
      </c>
      <c r="C248">
        <v>1</v>
      </c>
      <c r="D248" t="e">
        <f>VLOOKUP(A248,'MusiteDeep-11'!$A$1:$F$124,6,0)</f>
        <v>#N/A</v>
      </c>
    </row>
    <row r="249" spans="1:4" x14ac:dyDescent="0.4">
      <c r="A249" t="s">
        <v>497</v>
      </c>
      <c r="B249" t="s">
        <v>498</v>
      </c>
      <c r="C249">
        <v>1</v>
      </c>
      <c r="D249" t="e">
        <f>VLOOKUP(A249,'MusiteDeep-11'!$A$1:$F$124,6,0)</f>
        <v>#N/A</v>
      </c>
    </row>
    <row r="250" spans="1:4" x14ac:dyDescent="0.4">
      <c r="A250" t="s">
        <v>499</v>
      </c>
      <c r="B250" t="s">
        <v>500</v>
      </c>
      <c r="C250">
        <v>1</v>
      </c>
      <c r="D250">
        <f>VLOOKUP(A250,'MusiteDeep-11'!$A$1:$F$124,6,0)</f>
        <v>1</v>
      </c>
    </row>
    <row r="251" spans="1:4" x14ac:dyDescent="0.4">
      <c r="A251" t="s">
        <v>501</v>
      </c>
      <c r="B251" t="s">
        <v>502</v>
      </c>
      <c r="C251">
        <v>1</v>
      </c>
      <c r="D251" t="e">
        <f>VLOOKUP(A251,'MusiteDeep-11'!$A$1:$F$124,6,0)</f>
        <v>#N/A</v>
      </c>
    </row>
    <row r="252" spans="1:4" x14ac:dyDescent="0.4">
      <c r="A252" t="s">
        <v>503</v>
      </c>
      <c r="B252" t="s">
        <v>504</v>
      </c>
      <c r="C252">
        <v>1</v>
      </c>
      <c r="D252" t="e">
        <f>VLOOKUP(A252,'MusiteDeep-11'!$A$1:$F$124,6,0)</f>
        <v>#N/A</v>
      </c>
    </row>
    <row r="253" spans="1:4" x14ac:dyDescent="0.4">
      <c r="A253" t="s">
        <v>505</v>
      </c>
      <c r="B253" t="s">
        <v>506</v>
      </c>
      <c r="C253">
        <v>1</v>
      </c>
      <c r="D253" t="e">
        <f>VLOOKUP(A253,'MusiteDeep-11'!$A$1:$F$124,6,0)</f>
        <v>#N/A</v>
      </c>
    </row>
    <row r="254" spans="1:4" x14ac:dyDescent="0.4">
      <c r="A254" t="s">
        <v>507</v>
      </c>
      <c r="B254" t="s">
        <v>508</v>
      </c>
      <c r="C254">
        <v>1</v>
      </c>
      <c r="D254" t="e">
        <f>VLOOKUP(A254,'MusiteDeep-11'!$A$1:$F$124,6,0)</f>
        <v>#N/A</v>
      </c>
    </row>
    <row r="255" spans="1:4" x14ac:dyDescent="0.4">
      <c r="A255" t="s">
        <v>509</v>
      </c>
      <c r="B255" t="s">
        <v>510</v>
      </c>
      <c r="C255">
        <v>1</v>
      </c>
      <c r="D255">
        <f>VLOOKUP(A255,'MusiteDeep-11'!$A$1:$F$124,6,0)</f>
        <v>1</v>
      </c>
    </row>
    <row r="256" spans="1:4" x14ac:dyDescent="0.4">
      <c r="A256" t="s">
        <v>511</v>
      </c>
      <c r="B256" t="s">
        <v>512</v>
      </c>
      <c r="C256">
        <v>0</v>
      </c>
      <c r="D256">
        <f>VLOOKUP(A256,'MusiteDeep-11'!$A$1:$F$124,6,0)</f>
        <v>0</v>
      </c>
    </row>
    <row r="257" spans="1:4" x14ac:dyDescent="0.4">
      <c r="A257" t="s">
        <v>513</v>
      </c>
      <c r="B257" t="s">
        <v>514</v>
      </c>
      <c r="C257">
        <v>0</v>
      </c>
      <c r="D257" t="e">
        <f>VLOOKUP(A257,'MusiteDeep-11'!$A$1:$F$124,6,0)</f>
        <v>#N/A</v>
      </c>
    </row>
    <row r="258" spans="1:4" x14ac:dyDescent="0.4">
      <c r="A258" t="s">
        <v>515</v>
      </c>
      <c r="B258" t="s">
        <v>516</v>
      </c>
      <c r="C258">
        <v>0</v>
      </c>
      <c r="D258" t="e">
        <f>VLOOKUP(A258,'MusiteDeep-11'!$A$1:$F$124,6,0)</f>
        <v>#N/A</v>
      </c>
    </row>
    <row r="259" spans="1:4" x14ac:dyDescent="0.4">
      <c r="A259" t="s">
        <v>517</v>
      </c>
      <c r="B259" t="s">
        <v>518</v>
      </c>
      <c r="C259">
        <v>0</v>
      </c>
      <c r="D259" t="e">
        <f>VLOOKUP(A259,'MusiteDeep-11'!$A$1:$F$124,6,0)</f>
        <v>#N/A</v>
      </c>
    </row>
    <row r="260" spans="1:4" x14ac:dyDescent="0.4">
      <c r="A260" t="s">
        <v>519</v>
      </c>
      <c r="B260" t="s">
        <v>520</v>
      </c>
      <c r="C260">
        <v>0</v>
      </c>
      <c r="D260" t="e">
        <f>VLOOKUP(A260,'MusiteDeep-11'!$A$1:$F$124,6,0)</f>
        <v>#N/A</v>
      </c>
    </row>
    <row r="261" spans="1:4" x14ac:dyDescent="0.4">
      <c r="A261" t="s">
        <v>521</v>
      </c>
      <c r="B261" t="s">
        <v>522</v>
      </c>
      <c r="C261">
        <v>0</v>
      </c>
      <c r="D261" t="e">
        <f>VLOOKUP(A261,'MusiteDeep-11'!$A$1:$F$124,6,0)</f>
        <v>#N/A</v>
      </c>
    </row>
    <row r="262" spans="1:4" x14ac:dyDescent="0.4">
      <c r="A262" t="s">
        <v>523</v>
      </c>
      <c r="B262" t="s">
        <v>524</v>
      </c>
      <c r="C262">
        <v>0</v>
      </c>
      <c r="D262" t="e">
        <f>VLOOKUP(A262,'MusiteDeep-11'!$A$1:$F$124,6,0)</f>
        <v>#N/A</v>
      </c>
    </row>
    <row r="263" spans="1:4" x14ac:dyDescent="0.4">
      <c r="A263" t="s">
        <v>525</v>
      </c>
      <c r="B263" t="s">
        <v>526</v>
      </c>
      <c r="C263">
        <v>0</v>
      </c>
      <c r="D263" t="e">
        <f>VLOOKUP(A263,'MusiteDeep-11'!$A$1:$F$124,6,0)</f>
        <v>#N/A</v>
      </c>
    </row>
    <row r="264" spans="1:4" x14ac:dyDescent="0.4">
      <c r="A264" t="s">
        <v>527</v>
      </c>
      <c r="B264" t="s">
        <v>528</v>
      </c>
      <c r="C264">
        <v>0</v>
      </c>
      <c r="D264" t="e">
        <f>VLOOKUP(A264,'MusiteDeep-11'!$A$1:$F$124,6,0)</f>
        <v>#N/A</v>
      </c>
    </row>
    <row r="265" spans="1:4" x14ac:dyDescent="0.4">
      <c r="A265" t="s">
        <v>529</v>
      </c>
      <c r="B265" t="s">
        <v>530</v>
      </c>
      <c r="C265">
        <v>0</v>
      </c>
      <c r="D265" t="e">
        <f>VLOOKUP(A265,'MusiteDeep-11'!$A$1:$F$124,6,0)</f>
        <v>#N/A</v>
      </c>
    </row>
    <row r="266" spans="1:4" x14ac:dyDescent="0.4">
      <c r="A266" t="s">
        <v>531</v>
      </c>
      <c r="B266" t="s">
        <v>532</v>
      </c>
      <c r="C266">
        <v>0</v>
      </c>
      <c r="D266" t="e">
        <f>VLOOKUP(A266,'MusiteDeep-11'!$A$1:$F$124,6,0)</f>
        <v>#N/A</v>
      </c>
    </row>
    <row r="267" spans="1:4" x14ac:dyDescent="0.4">
      <c r="A267" t="s">
        <v>533</v>
      </c>
      <c r="B267" t="s">
        <v>534</v>
      </c>
      <c r="C267">
        <v>0</v>
      </c>
      <c r="D267" t="e">
        <f>VLOOKUP(A267,'MusiteDeep-11'!$A$1:$F$124,6,0)</f>
        <v>#N/A</v>
      </c>
    </row>
    <row r="268" spans="1:4" x14ac:dyDescent="0.4">
      <c r="A268" t="s">
        <v>535</v>
      </c>
      <c r="B268" t="s">
        <v>536</v>
      </c>
      <c r="C268">
        <v>0</v>
      </c>
      <c r="D268" t="e">
        <f>VLOOKUP(A268,'MusiteDeep-11'!$A$1:$F$124,6,0)</f>
        <v>#N/A</v>
      </c>
    </row>
    <row r="269" spans="1:4" x14ac:dyDescent="0.4">
      <c r="A269" t="s">
        <v>537</v>
      </c>
      <c r="B269" t="s">
        <v>538</v>
      </c>
      <c r="C269">
        <v>0</v>
      </c>
      <c r="D269" t="e">
        <f>VLOOKUP(A269,'MusiteDeep-11'!$A$1:$F$124,6,0)</f>
        <v>#N/A</v>
      </c>
    </row>
    <row r="270" spans="1:4" x14ac:dyDescent="0.4">
      <c r="A270" t="s">
        <v>539</v>
      </c>
      <c r="B270" t="s">
        <v>540</v>
      </c>
      <c r="C270">
        <v>0</v>
      </c>
      <c r="D270">
        <f>VLOOKUP(A270,'MusiteDeep-11'!$A$1:$F$124,6,0)</f>
        <v>0</v>
      </c>
    </row>
    <row r="271" spans="1:4" x14ac:dyDescent="0.4">
      <c r="A271" t="s">
        <v>541</v>
      </c>
      <c r="B271" t="s">
        <v>542</v>
      </c>
      <c r="C271">
        <v>0</v>
      </c>
      <c r="D271">
        <f>VLOOKUP(A271,'MusiteDeep-11'!$A$1:$F$124,6,0)</f>
        <v>0</v>
      </c>
    </row>
    <row r="272" spans="1:4" x14ac:dyDescent="0.4">
      <c r="A272" t="s">
        <v>543</v>
      </c>
      <c r="B272" t="s">
        <v>544</v>
      </c>
      <c r="C272">
        <v>0</v>
      </c>
      <c r="D272" t="e">
        <f>VLOOKUP(A272,'MusiteDeep-11'!$A$1:$F$124,6,0)</f>
        <v>#N/A</v>
      </c>
    </row>
    <row r="273" spans="1:4" x14ac:dyDescent="0.4">
      <c r="A273" t="s">
        <v>545</v>
      </c>
      <c r="B273" t="s">
        <v>546</v>
      </c>
      <c r="C273">
        <v>0</v>
      </c>
      <c r="D273" t="e">
        <f>VLOOKUP(A273,'MusiteDeep-11'!$A$1:$F$124,6,0)</f>
        <v>#N/A</v>
      </c>
    </row>
    <row r="274" spans="1:4" x14ac:dyDescent="0.4">
      <c r="A274" t="s">
        <v>547</v>
      </c>
      <c r="B274" t="s">
        <v>548</v>
      </c>
      <c r="C274">
        <v>0</v>
      </c>
      <c r="D274" t="e">
        <f>VLOOKUP(A274,'MusiteDeep-11'!$A$1:$F$124,6,0)</f>
        <v>#N/A</v>
      </c>
    </row>
    <row r="275" spans="1:4" x14ac:dyDescent="0.4">
      <c r="A275" t="s">
        <v>549</v>
      </c>
      <c r="B275" t="s">
        <v>550</v>
      </c>
      <c r="C275">
        <v>0</v>
      </c>
      <c r="D275" t="e">
        <f>VLOOKUP(A275,'MusiteDeep-11'!$A$1:$F$124,6,0)</f>
        <v>#N/A</v>
      </c>
    </row>
    <row r="276" spans="1:4" x14ac:dyDescent="0.4">
      <c r="A276" t="s">
        <v>551</v>
      </c>
      <c r="B276" t="s">
        <v>552</v>
      </c>
      <c r="C276">
        <v>0</v>
      </c>
      <c r="D276" t="e">
        <f>VLOOKUP(A276,'MusiteDeep-11'!$A$1:$F$124,6,0)</f>
        <v>#N/A</v>
      </c>
    </row>
    <row r="277" spans="1:4" x14ac:dyDescent="0.4">
      <c r="A277" t="s">
        <v>553</v>
      </c>
      <c r="B277" t="s">
        <v>554</v>
      </c>
      <c r="C277">
        <v>0</v>
      </c>
      <c r="D277" t="e">
        <f>VLOOKUP(A277,'MusiteDeep-11'!$A$1:$F$124,6,0)</f>
        <v>#N/A</v>
      </c>
    </row>
    <row r="278" spans="1:4" x14ac:dyDescent="0.4">
      <c r="A278" t="s">
        <v>555</v>
      </c>
      <c r="B278" t="s">
        <v>556</v>
      </c>
      <c r="C278">
        <v>0</v>
      </c>
      <c r="D278" t="e">
        <f>VLOOKUP(A278,'MusiteDeep-11'!$A$1:$F$124,6,0)</f>
        <v>#N/A</v>
      </c>
    </row>
    <row r="279" spans="1:4" x14ac:dyDescent="0.4">
      <c r="A279" t="s">
        <v>557</v>
      </c>
      <c r="B279" t="s">
        <v>558</v>
      </c>
      <c r="C279">
        <v>0</v>
      </c>
      <c r="D279">
        <f>VLOOKUP(A279,'MusiteDeep-11'!$A$1:$F$124,6,0)</f>
        <v>0</v>
      </c>
    </row>
    <row r="280" spans="1:4" x14ac:dyDescent="0.4">
      <c r="A280" t="s">
        <v>559</v>
      </c>
      <c r="B280" t="s">
        <v>560</v>
      </c>
      <c r="C280">
        <v>0</v>
      </c>
      <c r="D280" t="e">
        <f>VLOOKUP(A280,'MusiteDeep-11'!$A$1:$F$124,6,0)</f>
        <v>#N/A</v>
      </c>
    </row>
    <row r="281" spans="1:4" x14ac:dyDescent="0.4">
      <c r="A281" t="s">
        <v>561</v>
      </c>
      <c r="B281" t="s">
        <v>562</v>
      </c>
      <c r="C281">
        <v>0</v>
      </c>
      <c r="D281" t="e">
        <f>VLOOKUP(A281,'MusiteDeep-11'!$A$1:$F$124,6,0)</f>
        <v>#N/A</v>
      </c>
    </row>
    <row r="282" spans="1:4" x14ac:dyDescent="0.4">
      <c r="A282" t="s">
        <v>563</v>
      </c>
      <c r="B282" t="s">
        <v>564</v>
      </c>
      <c r="C282">
        <v>0</v>
      </c>
      <c r="D282">
        <f>VLOOKUP(A282,'MusiteDeep-11'!$A$1:$F$124,6,0)</f>
        <v>0</v>
      </c>
    </row>
    <row r="283" spans="1:4" x14ac:dyDescent="0.4">
      <c r="A283" t="s">
        <v>565</v>
      </c>
      <c r="B283" t="s">
        <v>566</v>
      </c>
      <c r="C283">
        <v>0</v>
      </c>
      <c r="D283" t="e">
        <f>VLOOKUP(A283,'MusiteDeep-11'!$A$1:$F$124,6,0)</f>
        <v>#N/A</v>
      </c>
    </row>
    <row r="284" spans="1:4" x14ac:dyDescent="0.4">
      <c r="A284" t="s">
        <v>567</v>
      </c>
      <c r="B284" t="s">
        <v>568</v>
      </c>
      <c r="C284">
        <v>0</v>
      </c>
      <c r="D284" t="e">
        <f>VLOOKUP(A284,'MusiteDeep-11'!$A$1:$F$124,6,0)</f>
        <v>#N/A</v>
      </c>
    </row>
    <row r="285" spans="1:4" x14ac:dyDescent="0.4">
      <c r="A285" t="s">
        <v>569</v>
      </c>
      <c r="B285" t="s">
        <v>570</v>
      </c>
      <c r="C285">
        <v>0</v>
      </c>
      <c r="D285" t="e">
        <f>VLOOKUP(A285,'MusiteDeep-11'!$A$1:$F$124,6,0)</f>
        <v>#N/A</v>
      </c>
    </row>
    <row r="286" spans="1:4" x14ac:dyDescent="0.4">
      <c r="A286" t="s">
        <v>571</v>
      </c>
      <c r="B286" t="s">
        <v>572</v>
      </c>
      <c r="C286">
        <v>0</v>
      </c>
      <c r="D286" t="e">
        <f>VLOOKUP(A286,'MusiteDeep-11'!$A$1:$F$124,6,0)</f>
        <v>#N/A</v>
      </c>
    </row>
    <row r="287" spans="1:4" x14ac:dyDescent="0.4">
      <c r="A287" t="s">
        <v>573</v>
      </c>
      <c r="B287" t="s">
        <v>574</v>
      </c>
      <c r="C287">
        <v>0</v>
      </c>
      <c r="D287" t="e">
        <f>VLOOKUP(A287,'MusiteDeep-11'!$A$1:$F$124,6,0)</f>
        <v>#N/A</v>
      </c>
    </row>
    <row r="288" spans="1:4" x14ac:dyDescent="0.4">
      <c r="A288" t="s">
        <v>575</v>
      </c>
      <c r="B288" t="s">
        <v>576</v>
      </c>
      <c r="C288">
        <v>0</v>
      </c>
      <c r="D288" t="e">
        <f>VLOOKUP(A288,'MusiteDeep-11'!$A$1:$F$124,6,0)</f>
        <v>#N/A</v>
      </c>
    </row>
    <row r="289" spans="1:4" x14ac:dyDescent="0.4">
      <c r="A289" t="s">
        <v>577</v>
      </c>
      <c r="B289" t="s">
        <v>578</v>
      </c>
      <c r="C289">
        <v>0</v>
      </c>
      <c r="D289" t="e">
        <f>VLOOKUP(A289,'MusiteDeep-11'!$A$1:$F$124,6,0)</f>
        <v>#N/A</v>
      </c>
    </row>
    <row r="290" spans="1:4" x14ac:dyDescent="0.4">
      <c r="A290" t="s">
        <v>579</v>
      </c>
      <c r="B290" t="s">
        <v>580</v>
      </c>
      <c r="C290">
        <v>0</v>
      </c>
      <c r="D290" t="e">
        <f>VLOOKUP(A290,'MusiteDeep-11'!$A$1:$F$124,6,0)</f>
        <v>#N/A</v>
      </c>
    </row>
    <row r="291" spans="1:4" x14ac:dyDescent="0.4">
      <c r="A291" t="s">
        <v>581</v>
      </c>
      <c r="B291" t="s">
        <v>582</v>
      </c>
      <c r="C291">
        <v>0</v>
      </c>
      <c r="D291" t="e">
        <f>VLOOKUP(A291,'MusiteDeep-11'!$A$1:$F$124,6,0)</f>
        <v>#N/A</v>
      </c>
    </row>
    <row r="292" spans="1:4" x14ac:dyDescent="0.4">
      <c r="A292" t="s">
        <v>583</v>
      </c>
      <c r="B292" t="s">
        <v>584</v>
      </c>
      <c r="C292">
        <v>0</v>
      </c>
      <c r="D292" t="e">
        <f>VLOOKUP(A292,'MusiteDeep-11'!$A$1:$F$124,6,0)</f>
        <v>#N/A</v>
      </c>
    </row>
    <row r="293" spans="1:4" x14ac:dyDescent="0.4">
      <c r="A293" t="s">
        <v>585</v>
      </c>
      <c r="B293" t="s">
        <v>586</v>
      </c>
      <c r="C293">
        <v>0</v>
      </c>
      <c r="D293" t="e">
        <f>VLOOKUP(A293,'MusiteDeep-11'!$A$1:$F$124,6,0)</f>
        <v>#N/A</v>
      </c>
    </row>
    <row r="294" spans="1:4" x14ac:dyDescent="0.4">
      <c r="A294" t="s">
        <v>587</v>
      </c>
      <c r="B294" t="s">
        <v>588</v>
      </c>
      <c r="C294">
        <v>0</v>
      </c>
      <c r="D294">
        <f>VLOOKUP(A294,'MusiteDeep-11'!$A$1:$F$124,6,0)</f>
        <v>0</v>
      </c>
    </row>
    <row r="295" spans="1:4" x14ac:dyDescent="0.4">
      <c r="A295" t="s">
        <v>589</v>
      </c>
      <c r="B295" t="s">
        <v>590</v>
      </c>
      <c r="C295">
        <v>0</v>
      </c>
      <c r="D295" t="e">
        <f>VLOOKUP(A295,'MusiteDeep-11'!$A$1:$F$124,6,0)</f>
        <v>#N/A</v>
      </c>
    </row>
    <row r="296" spans="1:4" x14ac:dyDescent="0.4">
      <c r="A296" t="s">
        <v>591</v>
      </c>
      <c r="B296" t="s">
        <v>592</v>
      </c>
      <c r="C296">
        <v>0</v>
      </c>
      <c r="D296" t="e">
        <f>VLOOKUP(A296,'MusiteDeep-11'!$A$1:$F$124,6,0)</f>
        <v>#N/A</v>
      </c>
    </row>
    <row r="297" spans="1:4" x14ac:dyDescent="0.4">
      <c r="A297" t="s">
        <v>593</v>
      </c>
      <c r="B297" t="s">
        <v>594</v>
      </c>
      <c r="C297">
        <v>0</v>
      </c>
      <c r="D297" t="e">
        <f>VLOOKUP(A297,'MusiteDeep-11'!$A$1:$F$124,6,0)</f>
        <v>#N/A</v>
      </c>
    </row>
    <row r="298" spans="1:4" x14ac:dyDescent="0.4">
      <c r="A298" t="s">
        <v>595</v>
      </c>
      <c r="B298" t="s">
        <v>596</v>
      </c>
      <c r="C298">
        <v>0</v>
      </c>
      <c r="D298" t="e">
        <f>VLOOKUP(A298,'MusiteDeep-11'!$A$1:$F$124,6,0)</f>
        <v>#N/A</v>
      </c>
    </row>
    <row r="299" spans="1:4" x14ac:dyDescent="0.4">
      <c r="A299" t="s">
        <v>597</v>
      </c>
      <c r="B299" t="s">
        <v>598</v>
      </c>
      <c r="C299">
        <v>0</v>
      </c>
      <c r="D299" t="e">
        <f>VLOOKUP(A299,'MusiteDeep-11'!$A$1:$F$124,6,0)</f>
        <v>#N/A</v>
      </c>
    </row>
    <row r="300" spans="1:4" x14ac:dyDescent="0.4">
      <c r="A300" t="s">
        <v>599</v>
      </c>
      <c r="B300" t="s">
        <v>600</v>
      </c>
      <c r="C300">
        <v>0</v>
      </c>
      <c r="D300" t="e">
        <f>VLOOKUP(A300,'MusiteDeep-11'!$A$1:$F$124,6,0)</f>
        <v>#N/A</v>
      </c>
    </row>
    <row r="301" spans="1:4" x14ac:dyDescent="0.4">
      <c r="A301" t="s">
        <v>601</v>
      </c>
      <c r="B301" t="s">
        <v>602</v>
      </c>
      <c r="C301">
        <v>0</v>
      </c>
      <c r="D301" t="e">
        <f>VLOOKUP(A301,'MusiteDeep-11'!$A$1:$F$124,6,0)</f>
        <v>#N/A</v>
      </c>
    </row>
    <row r="302" spans="1:4" x14ac:dyDescent="0.4">
      <c r="A302" t="s">
        <v>603</v>
      </c>
      <c r="B302" t="s">
        <v>604</v>
      </c>
      <c r="C302">
        <v>0</v>
      </c>
      <c r="D302" t="e">
        <f>VLOOKUP(A302,'MusiteDeep-11'!$A$1:$F$124,6,0)</f>
        <v>#N/A</v>
      </c>
    </row>
    <row r="303" spans="1:4" x14ac:dyDescent="0.4">
      <c r="A303" t="s">
        <v>605</v>
      </c>
      <c r="B303" t="s">
        <v>606</v>
      </c>
      <c r="C303">
        <v>0</v>
      </c>
      <c r="D303" t="e">
        <f>VLOOKUP(A303,'MusiteDeep-11'!$A$1:$F$124,6,0)</f>
        <v>#N/A</v>
      </c>
    </row>
    <row r="304" spans="1:4" x14ac:dyDescent="0.4">
      <c r="A304" t="s">
        <v>607</v>
      </c>
      <c r="B304" t="s">
        <v>608</v>
      </c>
      <c r="C304">
        <v>0</v>
      </c>
      <c r="D304" t="e">
        <f>VLOOKUP(A304,'MusiteDeep-11'!$A$1:$F$124,6,0)</f>
        <v>#N/A</v>
      </c>
    </row>
    <row r="305" spans="1:4" x14ac:dyDescent="0.4">
      <c r="A305" t="s">
        <v>609</v>
      </c>
      <c r="B305" t="s">
        <v>610</v>
      </c>
      <c r="C305">
        <v>0</v>
      </c>
      <c r="D305">
        <f>VLOOKUP(A305,'MusiteDeep-11'!$A$1:$F$124,6,0)</f>
        <v>0</v>
      </c>
    </row>
    <row r="306" spans="1:4" x14ac:dyDescent="0.4">
      <c r="A306" t="s">
        <v>611</v>
      </c>
      <c r="B306" t="s">
        <v>612</v>
      </c>
      <c r="C306">
        <v>0</v>
      </c>
      <c r="D306" t="e">
        <f>VLOOKUP(A306,'MusiteDeep-11'!$A$1:$F$124,6,0)</f>
        <v>#N/A</v>
      </c>
    </row>
    <row r="307" spans="1:4" x14ac:dyDescent="0.4">
      <c r="A307" t="s">
        <v>613</v>
      </c>
      <c r="B307" t="s">
        <v>614</v>
      </c>
      <c r="C307">
        <v>0</v>
      </c>
      <c r="D307">
        <f>VLOOKUP(A307,'MusiteDeep-11'!$A$1:$F$124,6,0)</f>
        <v>0</v>
      </c>
    </row>
    <row r="308" spans="1:4" x14ac:dyDescent="0.4">
      <c r="A308" t="s">
        <v>615</v>
      </c>
      <c r="B308" t="s">
        <v>616</v>
      </c>
      <c r="C308">
        <v>0</v>
      </c>
      <c r="D308" t="e">
        <f>VLOOKUP(A308,'MusiteDeep-11'!$A$1:$F$124,6,0)</f>
        <v>#N/A</v>
      </c>
    </row>
    <row r="309" spans="1:4" x14ac:dyDescent="0.4">
      <c r="A309" t="s">
        <v>617</v>
      </c>
      <c r="B309" t="s">
        <v>618</v>
      </c>
      <c r="C309">
        <v>0</v>
      </c>
      <c r="D309" t="e">
        <f>VLOOKUP(A309,'MusiteDeep-11'!$A$1:$F$124,6,0)</f>
        <v>#N/A</v>
      </c>
    </row>
    <row r="310" spans="1:4" x14ac:dyDescent="0.4">
      <c r="A310" t="s">
        <v>619</v>
      </c>
      <c r="B310" t="s">
        <v>620</v>
      </c>
      <c r="C310">
        <v>0</v>
      </c>
      <c r="D310" t="e">
        <f>VLOOKUP(A310,'MusiteDeep-11'!$A$1:$F$124,6,0)</f>
        <v>#N/A</v>
      </c>
    </row>
    <row r="311" spans="1:4" x14ac:dyDescent="0.4">
      <c r="A311" t="s">
        <v>621</v>
      </c>
      <c r="B311" t="s">
        <v>622</v>
      </c>
      <c r="C311">
        <v>0</v>
      </c>
      <c r="D311" t="e">
        <f>VLOOKUP(A311,'MusiteDeep-11'!$A$1:$F$124,6,0)</f>
        <v>#N/A</v>
      </c>
    </row>
    <row r="312" spans="1:4" x14ac:dyDescent="0.4">
      <c r="A312" t="s">
        <v>623</v>
      </c>
      <c r="B312" t="s">
        <v>624</v>
      </c>
      <c r="C312">
        <v>0</v>
      </c>
      <c r="D312" t="e">
        <f>VLOOKUP(A312,'MusiteDeep-11'!$A$1:$F$124,6,0)</f>
        <v>#N/A</v>
      </c>
    </row>
    <row r="313" spans="1:4" x14ac:dyDescent="0.4">
      <c r="A313" t="s">
        <v>625</v>
      </c>
      <c r="B313" t="s">
        <v>626</v>
      </c>
      <c r="C313">
        <v>0</v>
      </c>
      <c r="D313" t="e">
        <f>VLOOKUP(A313,'MusiteDeep-11'!$A$1:$F$124,6,0)</f>
        <v>#N/A</v>
      </c>
    </row>
    <row r="314" spans="1:4" x14ac:dyDescent="0.4">
      <c r="A314" t="s">
        <v>627</v>
      </c>
      <c r="B314" t="s">
        <v>628</v>
      </c>
      <c r="C314">
        <v>0</v>
      </c>
      <c r="D314" t="e">
        <f>VLOOKUP(A314,'MusiteDeep-11'!$A$1:$F$124,6,0)</f>
        <v>#N/A</v>
      </c>
    </row>
    <row r="315" spans="1:4" x14ac:dyDescent="0.4">
      <c r="A315" t="s">
        <v>629</v>
      </c>
      <c r="B315" t="s">
        <v>630</v>
      </c>
      <c r="C315">
        <v>0</v>
      </c>
      <c r="D315" t="e">
        <f>VLOOKUP(A315,'MusiteDeep-11'!$A$1:$F$124,6,0)</f>
        <v>#N/A</v>
      </c>
    </row>
    <row r="316" spans="1:4" x14ac:dyDescent="0.4">
      <c r="A316" t="s">
        <v>631</v>
      </c>
      <c r="B316" t="s">
        <v>632</v>
      </c>
      <c r="C316">
        <v>0</v>
      </c>
      <c r="D316" t="e">
        <f>VLOOKUP(A316,'MusiteDeep-11'!$A$1:$F$124,6,0)</f>
        <v>#N/A</v>
      </c>
    </row>
    <row r="317" spans="1:4" x14ac:dyDescent="0.4">
      <c r="A317" t="s">
        <v>633</v>
      </c>
      <c r="B317" t="s">
        <v>634</v>
      </c>
      <c r="C317">
        <v>0</v>
      </c>
      <c r="D317">
        <f>VLOOKUP(A317,'MusiteDeep-11'!$A$1:$F$124,6,0)</f>
        <v>0</v>
      </c>
    </row>
    <row r="318" spans="1:4" x14ac:dyDescent="0.4">
      <c r="A318" t="s">
        <v>635</v>
      </c>
      <c r="B318" t="s">
        <v>636</v>
      </c>
      <c r="C318">
        <v>0</v>
      </c>
      <c r="D318" t="e">
        <f>VLOOKUP(A318,'MusiteDeep-11'!$A$1:$F$124,6,0)</f>
        <v>#N/A</v>
      </c>
    </row>
    <row r="319" spans="1:4" x14ac:dyDescent="0.4">
      <c r="A319" t="s">
        <v>637</v>
      </c>
      <c r="B319" t="s">
        <v>638</v>
      </c>
      <c r="C319">
        <v>0</v>
      </c>
      <c r="D319" t="e">
        <f>VLOOKUP(A319,'MusiteDeep-11'!$A$1:$F$124,6,0)</f>
        <v>#N/A</v>
      </c>
    </row>
    <row r="320" spans="1:4" x14ac:dyDescent="0.4">
      <c r="A320" t="s">
        <v>639</v>
      </c>
      <c r="B320" t="s">
        <v>640</v>
      </c>
      <c r="C320">
        <v>0</v>
      </c>
      <c r="D320" t="e">
        <f>VLOOKUP(A320,'MusiteDeep-11'!$A$1:$F$124,6,0)</f>
        <v>#N/A</v>
      </c>
    </row>
    <row r="321" spans="1:4" x14ac:dyDescent="0.4">
      <c r="A321" t="s">
        <v>641</v>
      </c>
      <c r="B321" t="s">
        <v>642</v>
      </c>
      <c r="C321">
        <v>0</v>
      </c>
      <c r="D321" t="e">
        <f>VLOOKUP(A321,'MusiteDeep-11'!$A$1:$F$124,6,0)</f>
        <v>#N/A</v>
      </c>
    </row>
    <row r="322" spans="1:4" x14ac:dyDescent="0.4">
      <c r="A322" t="s">
        <v>643</v>
      </c>
      <c r="B322" t="s">
        <v>644</v>
      </c>
      <c r="C322">
        <v>0</v>
      </c>
      <c r="D322" t="e">
        <f>VLOOKUP(A322,'MusiteDeep-11'!$A$1:$F$124,6,0)</f>
        <v>#N/A</v>
      </c>
    </row>
    <row r="323" spans="1:4" x14ac:dyDescent="0.4">
      <c r="A323" t="s">
        <v>645</v>
      </c>
      <c r="B323" t="s">
        <v>646</v>
      </c>
      <c r="C323">
        <v>0</v>
      </c>
      <c r="D323">
        <f>VLOOKUP(A323,'MusiteDeep-11'!$A$1:$F$124,6,0)</f>
        <v>0</v>
      </c>
    </row>
    <row r="324" spans="1:4" x14ac:dyDescent="0.4">
      <c r="A324" t="s">
        <v>647</v>
      </c>
      <c r="B324" t="s">
        <v>648</v>
      </c>
      <c r="C324">
        <v>0</v>
      </c>
      <c r="D324" t="e">
        <f>VLOOKUP(A324,'MusiteDeep-11'!$A$1:$F$124,6,0)</f>
        <v>#N/A</v>
      </c>
    </row>
    <row r="325" spans="1:4" x14ac:dyDescent="0.4">
      <c r="A325" t="s">
        <v>649</v>
      </c>
      <c r="B325" t="s">
        <v>650</v>
      </c>
      <c r="C325">
        <v>0</v>
      </c>
      <c r="D325" t="e">
        <f>VLOOKUP(A325,'MusiteDeep-11'!$A$1:$F$124,6,0)</f>
        <v>#N/A</v>
      </c>
    </row>
    <row r="326" spans="1:4" x14ac:dyDescent="0.4">
      <c r="A326" t="s">
        <v>651</v>
      </c>
      <c r="B326" t="s">
        <v>652</v>
      </c>
      <c r="C326">
        <v>0</v>
      </c>
      <c r="D326">
        <f>VLOOKUP(A326,'MusiteDeep-11'!$A$1:$F$124,6,0)</f>
        <v>0</v>
      </c>
    </row>
    <row r="327" spans="1:4" x14ac:dyDescent="0.4">
      <c r="A327" t="s">
        <v>653</v>
      </c>
      <c r="B327" t="s">
        <v>654</v>
      </c>
      <c r="C327">
        <v>0</v>
      </c>
      <c r="D327" t="e">
        <f>VLOOKUP(A327,'MusiteDeep-11'!$A$1:$F$124,6,0)</f>
        <v>#N/A</v>
      </c>
    </row>
    <row r="328" spans="1:4" x14ac:dyDescent="0.4">
      <c r="A328" t="s">
        <v>655</v>
      </c>
      <c r="B328" t="s">
        <v>656</v>
      </c>
      <c r="C328">
        <v>0</v>
      </c>
      <c r="D328" t="e">
        <f>VLOOKUP(A328,'MusiteDeep-11'!$A$1:$F$124,6,0)</f>
        <v>#N/A</v>
      </c>
    </row>
    <row r="329" spans="1:4" x14ac:dyDescent="0.4">
      <c r="A329" t="s">
        <v>657</v>
      </c>
      <c r="B329" t="s">
        <v>658</v>
      </c>
      <c r="C329">
        <v>0</v>
      </c>
      <c r="D329" t="e">
        <f>VLOOKUP(A329,'MusiteDeep-11'!$A$1:$F$124,6,0)</f>
        <v>#N/A</v>
      </c>
    </row>
    <row r="330" spans="1:4" x14ac:dyDescent="0.4">
      <c r="A330" t="s">
        <v>659</v>
      </c>
      <c r="B330" t="s">
        <v>660</v>
      </c>
      <c r="C330">
        <v>0</v>
      </c>
      <c r="D330">
        <f>VLOOKUP(A330,'MusiteDeep-11'!$A$1:$F$124,6,0)</f>
        <v>0</v>
      </c>
    </row>
    <row r="331" spans="1:4" x14ac:dyDescent="0.4">
      <c r="A331" t="s">
        <v>661</v>
      </c>
      <c r="B331" t="s">
        <v>662</v>
      </c>
      <c r="C331">
        <v>0</v>
      </c>
      <c r="D331" t="e">
        <f>VLOOKUP(A331,'MusiteDeep-11'!$A$1:$F$124,6,0)</f>
        <v>#N/A</v>
      </c>
    </row>
    <row r="332" spans="1:4" x14ac:dyDescent="0.4">
      <c r="A332" t="s">
        <v>663</v>
      </c>
      <c r="B332" t="s">
        <v>664</v>
      </c>
      <c r="C332">
        <v>0</v>
      </c>
      <c r="D332" t="e">
        <f>VLOOKUP(A332,'MusiteDeep-11'!$A$1:$F$124,6,0)</f>
        <v>#N/A</v>
      </c>
    </row>
    <row r="333" spans="1:4" x14ac:dyDescent="0.4">
      <c r="A333" t="s">
        <v>665</v>
      </c>
      <c r="B333" t="s">
        <v>666</v>
      </c>
      <c r="C333">
        <v>0</v>
      </c>
      <c r="D333">
        <f>VLOOKUP(A333,'MusiteDeep-11'!$A$1:$F$124,6,0)</f>
        <v>0</v>
      </c>
    </row>
    <row r="334" spans="1:4" x14ac:dyDescent="0.4">
      <c r="A334" t="s">
        <v>667</v>
      </c>
      <c r="B334" t="s">
        <v>668</v>
      </c>
      <c r="C334">
        <v>0</v>
      </c>
      <c r="D334" t="e">
        <f>VLOOKUP(A334,'MusiteDeep-11'!$A$1:$F$124,6,0)</f>
        <v>#N/A</v>
      </c>
    </row>
    <row r="335" spans="1:4" x14ac:dyDescent="0.4">
      <c r="A335" t="s">
        <v>669</v>
      </c>
      <c r="B335" t="s">
        <v>670</v>
      </c>
      <c r="C335">
        <v>0</v>
      </c>
      <c r="D335" t="e">
        <f>VLOOKUP(A335,'MusiteDeep-11'!$A$1:$F$124,6,0)</f>
        <v>#N/A</v>
      </c>
    </row>
    <row r="336" spans="1:4" x14ac:dyDescent="0.4">
      <c r="A336" t="s">
        <v>671</v>
      </c>
      <c r="B336" t="s">
        <v>672</v>
      </c>
      <c r="C336">
        <v>0</v>
      </c>
      <c r="D336" t="e">
        <f>VLOOKUP(A336,'MusiteDeep-11'!$A$1:$F$124,6,0)</f>
        <v>#N/A</v>
      </c>
    </row>
    <row r="337" spans="1:4" x14ac:dyDescent="0.4">
      <c r="A337" t="s">
        <v>673</v>
      </c>
      <c r="B337" t="s">
        <v>674</v>
      </c>
      <c r="C337">
        <v>0</v>
      </c>
      <c r="D337">
        <f>VLOOKUP(A337,'MusiteDeep-11'!$A$1:$F$124,6,0)</f>
        <v>0</v>
      </c>
    </row>
    <row r="338" spans="1:4" x14ac:dyDescent="0.4">
      <c r="A338" t="s">
        <v>675</v>
      </c>
      <c r="B338" t="s">
        <v>676</v>
      </c>
      <c r="C338">
        <v>0</v>
      </c>
      <c r="D338" t="e">
        <f>VLOOKUP(A338,'MusiteDeep-11'!$A$1:$F$124,6,0)</f>
        <v>#N/A</v>
      </c>
    </row>
    <row r="339" spans="1:4" x14ac:dyDescent="0.4">
      <c r="A339" t="s">
        <v>677</v>
      </c>
      <c r="B339" t="s">
        <v>678</v>
      </c>
      <c r="C339">
        <v>0</v>
      </c>
      <c r="D339" t="e">
        <f>VLOOKUP(A339,'MusiteDeep-11'!$A$1:$F$124,6,0)</f>
        <v>#N/A</v>
      </c>
    </row>
    <row r="340" spans="1:4" x14ac:dyDescent="0.4">
      <c r="A340" t="s">
        <v>679</v>
      </c>
      <c r="B340" t="s">
        <v>680</v>
      </c>
      <c r="C340">
        <v>0</v>
      </c>
      <c r="D340" t="e">
        <f>VLOOKUP(A340,'MusiteDeep-11'!$A$1:$F$124,6,0)</f>
        <v>#N/A</v>
      </c>
    </row>
    <row r="341" spans="1:4" x14ac:dyDescent="0.4">
      <c r="A341" t="s">
        <v>681</v>
      </c>
      <c r="B341" t="s">
        <v>682</v>
      </c>
      <c r="C341">
        <v>0</v>
      </c>
      <c r="D341" t="e">
        <f>VLOOKUP(A341,'MusiteDeep-11'!$A$1:$F$124,6,0)</f>
        <v>#N/A</v>
      </c>
    </row>
    <row r="342" spans="1:4" x14ac:dyDescent="0.4">
      <c r="A342" t="s">
        <v>683</v>
      </c>
      <c r="B342" t="s">
        <v>684</v>
      </c>
      <c r="C342">
        <v>0</v>
      </c>
      <c r="D342" t="e">
        <f>VLOOKUP(A342,'MusiteDeep-11'!$A$1:$F$124,6,0)</f>
        <v>#N/A</v>
      </c>
    </row>
    <row r="343" spans="1:4" x14ac:dyDescent="0.4">
      <c r="A343" t="s">
        <v>685</v>
      </c>
      <c r="B343" t="s">
        <v>686</v>
      </c>
      <c r="C343">
        <v>0</v>
      </c>
      <c r="D343" t="e">
        <f>VLOOKUP(A343,'MusiteDeep-11'!$A$1:$F$124,6,0)</f>
        <v>#N/A</v>
      </c>
    </row>
    <row r="344" spans="1:4" x14ac:dyDescent="0.4">
      <c r="A344" t="s">
        <v>687</v>
      </c>
      <c r="B344" t="s">
        <v>688</v>
      </c>
      <c r="C344">
        <v>0</v>
      </c>
      <c r="D344" t="e">
        <f>VLOOKUP(A344,'MusiteDeep-11'!$A$1:$F$124,6,0)</f>
        <v>#N/A</v>
      </c>
    </row>
    <row r="345" spans="1:4" x14ac:dyDescent="0.4">
      <c r="A345" t="s">
        <v>689</v>
      </c>
      <c r="B345" t="s">
        <v>690</v>
      </c>
      <c r="C345">
        <v>0</v>
      </c>
      <c r="D345" t="e">
        <f>VLOOKUP(A345,'MusiteDeep-11'!$A$1:$F$124,6,0)</f>
        <v>#N/A</v>
      </c>
    </row>
    <row r="346" spans="1:4" x14ac:dyDescent="0.4">
      <c r="A346" t="s">
        <v>691</v>
      </c>
      <c r="B346" t="s">
        <v>692</v>
      </c>
      <c r="C346">
        <v>0</v>
      </c>
      <c r="D346" t="e">
        <f>VLOOKUP(A346,'MusiteDeep-11'!$A$1:$F$124,6,0)</f>
        <v>#N/A</v>
      </c>
    </row>
    <row r="347" spans="1:4" x14ac:dyDescent="0.4">
      <c r="A347" t="s">
        <v>693</v>
      </c>
      <c r="B347" t="s">
        <v>694</v>
      </c>
      <c r="C347">
        <v>0</v>
      </c>
      <c r="D347" t="e">
        <f>VLOOKUP(A347,'MusiteDeep-11'!$A$1:$F$124,6,0)</f>
        <v>#N/A</v>
      </c>
    </row>
    <row r="348" spans="1:4" x14ac:dyDescent="0.4">
      <c r="A348" t="s">
        <v>695</v>
      </c>
      <c r="B348" t="s">
        <v>696</v>
      </c>
      <c r="C348">
        <v>0</v>
      </c>
      <c r="D348" t="e">
        <f>VLOOKUP(A348,'MusiteDeep-11'!$A$1:$F$124,6,0)</f>
        <v>#N/A</v>
      </c>
    </row>
    <row r="349" spans="1:4" x14ac:dyDescent="0.4">
      <c r="A349" t="s">
        <v>697</v>
      </c>
      <c r="B349" t="s">
        <v>698</v>
      </c>
      <c r="C349">
        <v>0</v>
      </c>
      <c r="D349" t="e">
        <f>VLOOKUP(A349,'MusiteDeep-11'!$A$1:$F$124,6,0)</f>
        <v>#N/A</v>
      </c>
    </row>
    <row r="350" spans="1:4" x14ac:dyDescent="0.4">
      <c r="A350" t="s">
        <v>699</v>
      </c>
      <c r="B350" t="s">
        <v>700</v>
      </c>
      <c r="C350">
        <v>0</v>
      </c>
      <c r="D350" t="e">
        <f>VLOOKUP(A350,'MusiteDeep-11'!$A$1:$F$124,6,0)</f>
        <v>#N/A</v>
      </c>
    </row>
    <row r="351" spans="1:4" x14ac:dyDescent="0.4">
      <c r="A351" t="s">
        <v>701</v>
      </c>
      <c r="B351" t="s">
        <v>702</v>
      </c>
      <c r="C351">
        <v>0</v>
      </c>
      <c r="D351">
        <f>VLOOKUP(A351,'MusiteDeep-11'!$A$1:$F$124,6,0)</f>
        <v>0</v>
      </c>
    </row>
    <row r="352" spans="1:4" x14ac:dyDescent="0.4">
      <c r="A352" t="s">
        <v>703</v>
      </c>
      <c r="B352" t="s">
        <v>704</v>
      </c>
      <c r="C352">
        <v>0</v>
      </c>
      <c r="D352" t="e">
        <f>VLOOKUP(A352,'MusiteDeep-11'!$A$1:$F$124,6,0)</f>
        <v>#N/A</v>
      </c>
    </row>
    <row r="353" spans="1:4" x14ac:dyDescent="0.4">
      <c r="A353" t="s">
        <v>705</v>
      </c>
      <c r="B353" t="s">
        <v>706</v>
      </c>
      <c r="C353">
        <v>0</v>
      </c>
      <c r="D353" t="e">
        <f>VLOOKUP(A353,'MusiteDeep-11'!$A$1:$F$124,6,0)</f>
        <v>#N/A</v>
      </c>
    </row>
    <row r="354" spans="1:4" x14ac:dyDescent="0.4">
      <c r="A354" t="s">
        <v>707</v>
      </c>
      <c r="B354" t="s">
        <v>708</v>
      </c>
      <c r="C354">
        <v>0</v>
      </c>
      <c r="D354" t="e">
        <f>VLOOKUP(A354,'MusiteDeep-11'!$A$1:$F$124,6,0)</f>
        <v>#N/A</v>
      </c>
    </row>
    <row r="355" spans="1:4" x14ac:dyDescent="0.4">
      <c r="A355" t="s">
        <v>709</v>
      </c>
      <c r="B355" t="s">
        <v>710</v>
      </c>
      <c r="C355">
        <v>0</v>
      </c>
      <c r="D355" t="e">
        <f>VLOOKUP(A355,'MusiteDeep-11'!$A$1:$F$124,6,0)</f>
        <v>#N/A</v>
      </c>
    </row>
    <row r="356" spans="1:4" x14ac:dyDescent="0.4">
      <c r="A356" t="s">
        <v>711</v>
      </c>
      <c r="B356" t="s">
        <v>712</v>
      </c>
      <c r="C356">
        <v>0</v>
      </c>
      <c r="D356" t="e">
        <f>VLOOKUP(A356,'MusiteDeep-11'!$A$1:$F$124,6,0)</f>
        <v>#N/A</v>
      </c>
    </row>
    <row r="357" spans="1:4" x14ac:dyDescent="0.4">
      <c r="A357" t="s">
        <v>713</v>
      </c>
      <c r="B357" t="s">
        <v>714</v>
      </c>
      <c r="C357">
        <v>0</v>
      </c>
      <c r="D357">
        <f>VLOOKUP(A357,'MusiteDeep-11'!$A$1:$F$124,6,0)</f>
        <v>0</v>
      </c>
    </row>
    <row r="358" spans="1:4" x14ac:dyDescent="0.4">
      <c r="A358" t="s">
        <v>715</v>
      </c>
      <c r="B358" t="s">
        <v>716</v>
      </c>
      <c r="C358">
        <v>0</v>
      </c>
      <c r="D358" t="e">
        <f>VLOOKUP(A358,'MusiteDeep-11'!$A$1:$F$124,6,0)</f>
        <v>#N/A</v>
      </c>
    </row>
    <row r="359" spans="1:4" x14ac:dyDescent="0.4">
      <c r="A359" t="s">
        <v>717</v>
      </c>
      <c r="B359" t="s">
        <v>718</v>
      </c>
      <c r="C359">
        <v>0</v>
      </c>
      <c r="D359" t="e">
        <f>VLOOKUP(A359,'MusiteDeep-11'!$A$1:$F$124,6,0)</f>
        <v>#N/A</v>
      </c>
    </row>
    <row r="360" spans="1:4" x14ac:dyDescent="0.4">
      <c r="A360" t="s">
        <v>719</v>
      </c>
      <c r="B360" t="s">
        <v>720</v>
      </c>
      <c r="C360">
        <v>0</v>
      </c>
      <c r="D360" t="e">
        <f>VLOOKUP(A360,'MusiteDeep-11'!$A$1:$F$124,6,0)</f>
        <v>#N/A</v>
      </c>
    </row>
    <row r="361" spans="1:4" x14ac:dyDescent="0.4">
      <c r="A361" t="s">
        <v>721</v>
      </c>
      <c r="B361" t="s">
        <v>722</v>
      </c>
      <c r="C361">
        <v>0</v>
      </c>
      <c r="D361">
        <f>VLOOKUP(A361,'MusiteDeep-11'!$A$1:$F$124,6,0)</f>
        <v>0</v>
      </c>
    </row>
    <row r="362" spans="1:4" x14ac:dyDescent="0.4">
      <c r="A362" t="s">
        <v>723</v>
      </c>
      <c r="B362" t="s">
        <v>724</v>
      </c>
      <c r="C362">
        <v>0</v>
      </c>
      <c r="D362" t="e">
        <f>VLOOKUP(A362,'MusiteDeep-11'!$A$1:$F$124,6,0)</f>
        <v>#N/A</v>
      </c>
    </row>
    <row r="363" spans="1:4" x14ac:dyDescent="0.4">
      <c r="A363" t="s">
        <v>725</v>
      </c>
      <c r="B363" t="s">
        <v>726</v>
      </c>
      <c r="C363">
        <v>0</v>
      </c>
      <c r="D363" t="e">
        <f>VLOOKUP(A363,'MusiteDeep-11'!$A$1:$F$124,6,0)</f>
        <v>#N/A</v>
      </c>
    </row>
    <row r="364" spans="1:4" x14ac:dyDescent="0.4">
      <c r="A364" t="s">
        <v>727</v>
      </c>
      <c r="B364" t="s">
        <v>728</v>
      </c>
      <c r="C364">
        <v>0</v>
      </c>
      <c r="D364" t="e">
        <f>VLOOKUP(A364,'MusiteDeep-11'!$A$1:$F$124,6,0)</f>
        <v>#N/A</v>
      </c>
    </row>
    <row r="365" spans="1:4" x14ac:dyDescent="0.4">
      <c r="A365" t="s">
        <v>729</v>
      </c>
      <c r="B365" t="s">
        <v>730</v>
      </c>
      <c r="C365">
        <v>0</v>
      </c>
      <c r="D365" t="e">
        <f>VLOOKUP(A365,'MusiteDeep-11'!$A$1:$F$124,6,0)</f>
        <v>#N/A</v>
      </c>
    </row>
    <row r="366" spans="1:4" x14ac:dyDescent="0.4">
      <c r="A366" t="s">
        <v>731</v>
      </c>
      <c r="B366" t="s">
        <v>732</v>
      </c>
      <c r="C366">
        <v>0</v>
      </c>
      <c r="D366" t="e">
        <f>VLOOKUP(A366,'MusiteDeep-11'!$A$1:$F$124,6,0)</f>
        <v>#N/A</v>
      </c>
    </row>
    <row r="367" spans="1:4" x14ac:dyDescent="0.4">
      <c r="A367" t="s">
        <v>733</v>
      </c>
      <c r="B367" t="s">
        <v>734</v>
      </c>
      <c r="C367">
        <v>0</v>
      </c>
      <c r="D367" t="e">
        <f>VLOOKUP(A367,'MusiteDeep-11'!$A$1:$F$124,6,0)</f>
        <v>#N/A</v>
      </c>
    </row>
    <row r="368" spans="1:4" x14ac:dyDescent="0.4">
      <c r="A368" t="s">
        <v>735</v>
      </c>
      <c r="B368" t="s">
        <v>736</v>
      </c>
      <c r="C368">
        <v>0</v>
      </c>
      <c r="D368" t="e">
        <f>VLOOKUP(A368,'MusiteDeep-11'!$A$1:$F$124,6,0)</f>
        <v>#N/A</v>
      </c>
    </row>
    <row r="369" spans="1:4" x14ac:dyDescent="0.4">
      <c r="A369" t="s">
        <v>737</v>
      </c>
      <c r="B369" t="s">
        <v>738</v>
      </c>
      <c r="C369">
        <v>0</v>
      </c>
      <c r="D369" t="e">
        <f>VLOOKUP(A369,'MusiteDeep-11'!$A$1:$F$124,6,0)</f>
        <v>#N/A</v>
      </c>
    </row>
    <row r="370" spans="1:4" x14ac:dyDescent="0.4">
      <c r="A370" t="s">
        <v>739</v>
      </c>
      <c r="B370" t="s">
        <v>740</v>
      </c>
      <c r="C370">
        <v>0</v>
      </c>
      <c r="D370" t="e">
        <f>VLOOKUP(A370,'MusiteDeep-11'!$A$1:$F$124,6,0)</f>
        <v>#N/A</v>
      </c>
    </row>
    <row r="371" spans="1:4" x14ac:dyDescent="0.4">
      <c r="A371" t="s">
        <v>741</v>
      </c>
      <c r="B371" t="s">
        <v>742</v>
      </c>
      <c r="C371">
        <v>0</v>
      </c>
      <c r="D371" t="e">
        <f>VLOOKUP(A371,'MusiteDeep-11'!$A$1:$F$124,6,0)</f>
        <v>#N/A</v>
      </c>
    </row>
    <row r="372" spans="1:4" x14ac:dyDescent="0.4">
      <c r="A372" t="s">
        <v>743</v>
      </c>
      <c r="B372" t="s">
        <v>744</v>
      </c>
      <c r="C372">
        <v>0</v>
      </c>
      <c r="D372" t="e">
        <f>VLOOKUP(A372,'MusiteDeep-11'!$A$1:$F$124,6,0)</f>
        <v>#N/A</v>
      </c>
    </row>
    <row r="373" spans="1:4" x14ac:dyDescent="0.4">
      <c r="A373" t="s">
        <v>745</v>
      </c>
      <c r="B373" t="s">
        <v>746</v>
      </c>
      <c r="C373">
        <v>0</v>
      </c>
      <c r="D373" t="e">
        <f>VLOOKUP(A373,'MusiteDeep-11'!$A$1:$F$124,6,0)</f>
        <v>#N/A</v>
      </c>
    </row>
    <row r="374" spans="1:4" x14ac:dyDescent="0.4">
      <c r="A374" t="s">
        <v>747</v>
      </c>
      <c r="B374" t="s">
        <v>748</v>
      </c>
      <c r="C374">
        <v>0</v>
      </c>
      <c r="D374" t="e">
        <f>VLOOKUP(A374,'MusiteDeep-11'!$A$1:$F$124,6,0)</f>
        <v>#N/A</v>
      </c>
    </row>
    <row r="375" spans="1:4" x14ac:dyDescent="0.4">
      <c r="A375" t="s">
        <v>749</v>
      </c>
      <c r="B375" t="s">
        <v>750</v>
      </c>
      <c r="C375">
        <v>0</v>
      </c>
      <c r="D375" t="e">
        <f>VLOOKUP(A375,'MusiteDeep-11'!$A$1:$F$124,6,0)</f>
        <v>#N/A</v>
      </c>
    </row>
    <row r="376" spans="1:4" x14ac:dyDescent="0.4">
      <c r="A376" t="s">
        <v>751</v>
      </c>
      <c r="B376" t="s">
        <v>752</v>
      </c>
      <c r="C376">
        <v>0</v>
      </c>
      <c r="D376" t="e">
        <f>VLOOKUP(A376,'MusiteDeep-11'!$A$1:$F$124,6,0)</f>
        <v>#N/A</v>
      </c>
    </row>
    <row r="377" spans="1:4" x14ac:dyDescent="0.4">
      <c r="A377" t="s">
        <v>753</v>
      </c>
      <c r="B377" t="s">
        <v>754</v>
      </c>
      <c r="C377">
        <v>0</v>
      </c>
      <c r="D377" t="e">
        <f>VLOOKUP(A377,'MusiteDeep-11'!$A$1:$F$124,6,0)</f>
        <v>#N/A</v>
      </c>
    </row>
    <row r="378" spans="1:4" x14ac:dyDescent="0.4">
      <c r="A378" t="s">
        <v>755</v>
      </c>
      <c r="B378" t="s">
        <v>756</v>
      </c>
      <c r="C378">
        <v>0</v>
      </c>
      <c r="D378">
        <f>VLOOKUP(A378,'MusiteDeep-11'!$A$1:$F$124,6,0)</f>
        <v>0</v>
      </c>
    </row>
    <row r="379" spans="1:4" x14ac:dyDescent="0.4">
      <c r="A379" t="s">
        <v>757</v>
      </c>
      <c r="B379" t="s">
        <v>758</v>
      </c>
      <c r="C379">
        <v>0</v>
      </c>
      <c r="D379" t="e">
        <f>VLOOKUP(A379,'MusiteDeep-11'!$A$1:$F$124,6,0)</f>
        <v>#N/A</v>
      </c>
    </row>
    <row r="380" spans="1:4" x14ac:dyDescent="0.4">
      <c r="A380" t="s">
        <v>759</v>
      </c>
      <c r="B380" t="s">
        <v>760</v>
      </c>
      <c r="C380">
        <v>0</v>
      </c>
      <c r="D380" t="e">
        <f>VLOOKUP(A380,'MusiteDeep-11'!$A$1:$F$124,6,0)</f>
        <v>#N/A</v>
      </c>
    </row>
    <row r="381" spans="1:4" x14ac:dyDescent="0.4">
      <c r="A381" t="s">
        <v>761</v>
      </c>
      <c r="B381" t="s">
        <v>762</v>
      </c>
      <c r="C381">
        <v>0</v>
      </c>
      <c r="D381" t="e">
        <f>VLOOKUP(A381,'MusiteDeep-11'!$A$1:$F$124,6,0)</f>
        <v>#N/A</v>
      </c>
    </row>
    <row r="382" spans="1:4" x14ac:dyDescent="0.4">
      <c r="A382" t="s">
        <v>763</v>
      </c>
      <c r="B382" t="s">
        <v>764</v>
      </c>
      <c r="C382">
        <v>0</v>
      </c>
      <c r="D382" t="e">
        <f>VLOOKUP(A382,'MusiteDeep-11'!$A$1:$F$124,6,0)</f>
        <v>#N/A</v>
      </c>
    </row>
    <row r="383" spans="1:4" x14ac:dyDescent="0.4">
      <c r="A383" t="s">
        <v>765</v>
      </c>
      <c r="B383" t="s">
        <v>766</v>
      </c>
      <c r="C383">
        <v>0</v>
      </c>
      <c r="D383" t="e">
        <f>VLOOKUP(A383,'MusiteDeep-11'!$A$1:$F$124,6,0)</f>
        <v>#N/A</v>
      </c>
    </row>
    <row r="384" spans="1:4" x14ac:dyDescent="0.4">
      <c r="A384" t="s">
        <v>767</v>
      </c>
      <c r="B384" t="s">
        <v>768</v>
      </c>
      <c r="C384">
        <v>0</v>
      </c>
      <c r="D384" t="e">
        <f>VLOOKUP(A384,'MusiteDeep-11'!$A$1:$F$124,6,0)</f>
        <v>#N/A</v>
      </c>
    </row>
    <row r="385" spans="1:4" x14ac:dyDescent="0.4">
      <c r="A385" t="s">
        <v>769</v>
      </c>
      <c r="B385" t="s">
        <v>770</v>
      </c>
      <c r="C385">
        <v>0</v>
      </c>
      <c r="D385" t="e">
        <f>VLOOKUP(A385,'MusiteDeep-11'!$A$1:$F$124,6,0)</f>
        <v>#N/A</v>
      </c>
    </row>
    <row r="386" spans="1:4" x14ac:dyDescent="0.4">
      <c r="A386" t="s">
        <v>771</v>
      </c>
      <c r="B386" t="s">
        <v>772</v>
      </c>
      <c r="C386">
        <v>0</v>
      </c>
      <c r="D386">
        <f>VLOOKUP(A386,'MusiteDeep-11'!$A$1:$F$124,6,0)</f>
        <v>0</v>
      </c>
    </row>
    <row r="387" spans="1:4" x14ac:dyDescent="0.4">
      <c r="A387" t="s">
        <v>773</v>
      </c>
      <c r="B387" t="s">
        <v>774</v>
      </c>
      <c r="C387">
        <v>0</v>
      </c>
      <c r="D387" t="e">
        <f>VLOOKUP(A387,'MusiteDeep-11'!$A$1:$F$124,6,0)</f>
        <v>#N/A</v>
      </c>
    </row>
    <row r="388" spans="1:4" x14ac:dyDescent="0.4">
      <c r="A388" t="s">
        <v>775</v>
      </c>
      <c r="B388" t="s">
        <v>776</v>
      </c>
      <c r="C388">
        <v>0</v>
      </c>
      <c r="D388" t="e">
        <f>VLOOKUP(A388,'MusiteDeep-11'!$A$1:$F$124,6,0)</f>
        <v>#N/A</v>
      </c>
    </row>
    <row r="389" spans="1:4" x14ac:dyDescent="0.4">
      <c r="A389" t="s">
        <v>777</v>
      </c>
      <c r="B389" t="s">
        <v>778</v>
      </c>
      <c r="C389">
        <v>0</v>
      </c>
      <c r="D389" t="e">
        <f>VLOOKUP(A389,'MusiteDeep-11'!$A$1:$F$124,6,0)</f>
        <v>#N/A</v>
      </c>
    </row>
    <row r="390" spans="1:4" x14ac:dyDescent="0.4">
      <c r="A390" t="s">
        <v>779</v>
      </c>
      <c r="B390" t="s">
        <v>780</v>
      </c>
      <c r="C390">
        <v>0</v>
      </c>
      <c r="D390" t="e">
        <f>VLOOKUP(A390,'MusiteDeep-11'!$A$1:$F$124,6,0)</f>
        <v>#N/A</v>
      </c>
    </row>
    <row r="391" spans="1:4" x14ac:dyDescent="0.4">
      <c r="A391" t="s">
        <v>781</v>
      </c>
      <c r="B391" t="s">
        <v>782</v>
      </c>
      <c r="C391">
        <v>0</v>
      </c>
      <c r="D391" t="e">
        <f>VLOOKUP(A391,'MusiteDeep-11'!$A$1:$F$124,6,0)</f>
        <v>#N/A</v>
      </c>
    </row>
    <row r="392" spans="1:4" x14ac:dyDescent="0.4">
      <c r="A392" t="s">
        <v>783</v>
      </c>
      <c r="B392" t="s">
        <v>784</v>
      </c>
      <c r="C392">
        <v>0</v>
      </c>
      <c r="D392">
        <f>VLOOKUP(A392,'MusiteDeep-11'!$A$1:$F$124,6,0)</f>
        <v>0</v>
      </c>
    </row>
    <row r="393" spans="1:4" x14ac:dyDescent="0.4">
      <c r="A393" t="s">
        <v>785</v>
      </c>
      <c r="B393" t="s">
        <v>786</v>
      </c>
      <c r="C393">
        <v>0</v>
      </c>
      <c r="D393" t="e">
        <f>VLOOKUP(A393,'MusiteDeep-11'!$A$1:$F$124,6,0)</f>
        <v>#N/A</v>
      </c>
    </row>
    <row r="394" spans="1:4" x14ac:dyDescent="0.4">
      <c r="A394" t="s">
        <v>787</v>
      </c>
      <c r="B394" t="s">
        <v>788</v>
      </c>
      <c r="C394">
        <v>0</v>
      </c>
      <c r="D394" t="e">
        <f>VLOOKUP(A394,'MusiteDeep-11'!$A$1:$F$124,6,0)</f>
        <v>#N/A</v>
      </c>
    </row>
    <row r="395" spans="1:4" x14ac:dyDescent="0.4">
      <c r="A395" t="s">
        <v>789</v>
      </c>
      <c r="B395" t="s">
        <v>790</v>
      </c>
      <c r="C395">
        <v>0</v>
      </c>
      <c r="D395">
        <f>VLOOKUP(A395,'MusiteDeep-11'!$A$1:$F$124,6,0)</f>
        <v>0</v>
      </c>
    </row>
    <row r="396" spans="1:4" x14ac:dyDescent="0.4">
      <c r="A396" t="s">
        <v>791</v>
      </c>
      <c r="B396" t="s">
        <v>792</v>
      </c>
      <c r="C396">
        <v>0</v>
      </c>
      <c r="D396">
        <f>VLOOKUP(A396,'MusiteDeep-11'!$A$1:$F$124,6,0)</f>
        <v>0</v>
      </c>
    </row>
    <row r="397" spans="1:4" x14ac:dyDescent="0.4">
      <c r="A397" t="s">
        <v>793</v>
      </c>
      <c r="B397" t="s">
        <v>794</v>
      </c>
      <c r="C397">
        <v>0</v>
      </c>
      <c r="D397" t="e">
        <f>VLOOKUP(A397,'MusiteDeep-11'!$A$1:$F$124,6,0)</f>
        <v>#N/A</v>
      </c>
    </row>
    <row r="398" spans="1:4" x14ac:dyDescent="0.4">
      <c r="A398" t="s">
        <v>795</v>
      </c>
      <c r="B398" t="s">
        <v>796</v>
      </c>
      <c r="C398">
        <v>0</v>
      </c>
      <c r="D398" t="e">
        <f>VLOOKUP(A398,'MusiteDeep-11'!$A$1:$F$124,6,0)</f>
        <v>#N/A</v>
      </c>
    </row>
    <row r="399" spans="1:4" x14ac:dyDescent="0.4">
      <c r="A399" t="s">
        <v>797</v>
      </c>
      <c r="B399" t="s">
        <v>798</v>
      </c>
      <c r="C399">
        <v>0</v>
      </c>
      <c r="D399" t="e">
        <f>VLOOKUP(A399,'MusiteDeep-11'!$A$1:$F$124,6,0)</f>
        <v>#N/A</v>
      </c>
    </row>
    <row r="400" spans="1:4" x14ac:dyDescent="0.4">
      <c r="A400" t="s">
        <v>799</v>
      </c>
      <c r="B400" t="s">
        <v>800</v>
      </c>
      <c r="C400">
        <v>0</v>
      </c>
      <c r="D400" t="e">
        <f>VLOOKUP(A400,'MusiteDeep-11'!$A$1:$F$124,6,0)</f>
        <v>#N/A</v>
      </c>
    </row>
    <row r="401" spans="1:4" x14ac:dyDescent="0.4">
      <c r="A401" t="s">
        <v>801</v>
      </c>
      <c r="B401" t="s">
        <v>802</v>
      </c>
      <c r="C401">
        <v>0</v>
      </c>
      <c r="D401" t="e">
        <f>VLOOKUP(A401,'MusiteDeep-11'!$A$1:$F$124,6,0)</f>
        <v>#N/A</v>
      </c>
    </row>
    <row r="402" spans="1:4" x14ac:dyDescent="0.4">
      <c r="A402" t="s">
        <v>803</v>
      </c>
      <c r="B402" t="s">
        <v>804</v>
      </c>
      <c r="C402">
        <v>0</v>
      </c>
      <c r="D402" t="e">
        <f>VLOOKUP(A402,'MusiteDeep-11'!$A$1:$F$124,6,0)</f>
        <v>#N/A</v>
      </c>
    </row>
    <row r="403" spans="1:4" x14ac:dyDescent="0.4">
      <c r="A403" t="s">
        <v>805</v>
      </c>
      <c r="B403" t="s">
        <v>806</v>
      </c>
      <c r="C403">
        <v>0</v>
      </c>
      <c r="D403" t="e">
        <f>VLOOKUP(A403,'MusiteDeep-11'!$A$1:$F$124,6,0)</f>
        <v>#N/A</v>
      </c>
    </row>
    <row r="404" spans="1:4" x14ac:dyDescent="0.4">
      <c r="A404" t="s">
        <v>807</v>
      </c>
      <c r="B404" t="s">
        <v>808</v>
      </c>
      <c r="C404">
        <v>0</v>
      </c>
      <c r="D404" t="e">
        <f>VLOOKUP(A404,'MusiteDeep-11'!$A$1:$F$124,6,0)</f>
        <v>#N/A</v>
      </c>
    </row>
    <row r="405" spans="1:4" x14ac:dyDescent="0.4">
      <c r="A405" t="s">
        <v>809</v>
      </c>
      <c r="B405" t="s">
        <v>810</v>
      </c>
      <c r="C405">
        <v>0</v>
      </c>
      <c r="D405" t="e">
        <f>VLOOKUP(A405,'MusiteDeep-11'!$A$1:$F$124,6,0)</f>
        <v>#N/A</v>
      </c>
    </row>
    <row r="406" spans="1:4" x14ac:dyDescent="0.4">
      <c r="A406" t="s">
        <v>811</v>
      </c>
      <c r="B406" t="s">
        <v>812</v>
      </c>
      <c r="C406">
        <v>0</v>
      </c>
      <c r="D406" t="e">
        <f>VLOOKUP(A406,'MusiteDeep-11'!$A$1:$F$124,6,0)</f>
        <v>#N/A</v>
      </c>
    </row>
    <row r="407" spans="1:4" x14ac:dyDescent="0.4">
      <c r="A407" t="s">
        <v>813</v>
      </c>
      <c r="B407" t="s">
        <v>814</v>
      </c>
      <c r="C407">
        <v>0</v>
      </c>
      <c r="D407" t="e">
        <f>VLOOKUP(A407,'MusiteDeep-11'!$A$1:$F$124,6,0)</f>
        <v>#N/A</v>
      </c>
    </row>
    <row r="408" spans="1:4" x14ac:dyDescent="0.4">
      <c r="A408" t="s">
        <v>815</v>
      </c>
      <c r="B408" t="s">
        <v>816</v>
      </c>
      <c r="C408">
        <v>0</v>
      </c>
      <c r="D408" t="e">
        <f>VLOOKUP(A408,'MusiteDeep-11'!$A$1:$F$124,6,0)</f>
        <v>#N/A</v>
      </c>
    </row>
    <row r="409" spans="1:4" x14ac:dyDescent="0.4">
      <c r="A409" t="s">
        <v>817</v>
      </c>
      <c r="B409" t="s">
        <v>818</v>
      </c>
      <c r="C409">
        <v>0</v>
      </c>
      <c r="D409" t="e">
        <f>VLOOKUP(A409,'MusiteDeep-11'!$A$1:$F$124,6,0)</f>
        <v>#N/A</v>
      </c>
    </row>
    <row r="410" spans="1:4" x14ac:dyDescent="0.4">
      <c r="A410" t="s">
        <v>819</v>
      </c>
      <c r="B410" t="s">
        <v>820</v>
      </c>
      <c r="C410">
        <v>0</v>
      </c>
      <c r="D410" t="e">
        <f>VLOOKUP(A410,'MusiteDeep-11'!$A$1:$F$124,6,0)</f>
        <v>#N/A</v>
      </c>
    </row>
    <row r="411" spans="1:4" x14ac:dyDescent="0.4">
      <c r="A411" t="s">
        <v>821</v>
      </c>
      <c r="B411" t="s">
        <v>822</v>
      </c>
      <c r="C411">
        <v>0</v>
      </c>
      <c r="D411" t="e">
        <f>VLOOKUP(A411,'MusiteDeep-11'!$A$1:$F$124,6,0)</f>
        <v>#N/A</v>
      </c>
    </row>
    <row r="412" spans="1:4" x14ac:dyDescent="0.4">
      <c r="A412" t="s">
        <v>823</v>
      </c>
      <c r="B412" t="s">
        <v>824</v>
      </c>
      <c r="C412">
        <v>0</v>
      </c>
      <c r="D412" t="e">
        <f>VLOOKUP(A412,'MusiteDeep-11'!$A$1:$F$124,6,0)</f>
        <v>#N/A</v>
      </c>
    </row>
    <row r="413" spans="1:4" x14ac:dyDescent="0.4">
      <c r="A413" t="s">
        <v>825</v>
      </c>
      <c r="B413" t="s">
        <v>826</v>
      </c>
      <c r="C413">
        <v>0</v>
      </c>
      <c r="D413" t="e">
        <f>VLOOKUP(A413,'MusiteDeep-11'!$A$1:$F$124,6,0)</f>
        <v>#N/A</v>
      </c>
    </row>
    <row r="414" spans="1:4" x14ac:dyDescent="0.4">
      <c r="A414" t="s">
        <v>827</v>
      </c>
      <c r="B414" t="s">
        <v>828</v>
      </c>
      <c r="C414">
        <v>0</v>
      </c>
      <c r="D414" t="e">
        <f>VLOOKUP(A414,'MusiteDeep-11'!$A$1:$F$124,6,0)</f>
        <v>#N/A</v>
      </c>
    </row>
    <row r="415" spans="1:4" x14ac:dyDescent="0.4">
      <c r="A415" t="s">
        <v>829</v>
      </c>
      <c r="B415" t="s">
        <v>830</v>
      </c>
      <c r="C415">
        <v>0</v>
      </c>
      <c r="D415" t="e">
        <f>VLOOKUP(A415,'MusiteDeep-11'!$A$1:$F$124,6,0)</f>
        <v>#N/A</v>
      </c>
    </row>
    <row r="416" spans="1:4" x14ac:dyDescent="0.4">
      <c r="A416" t="s">
        <v>831</v>
      </c>
      <c r="B416" t="s">
        <v>832</v>
      </c>
      <c r="C416">
        <v>0</v>
      </c>
      <c r="D416" t="e">
        <f>VLOOKUP(A416,'MusiteDeep-11'!$A$1:$F$124,6,0)</f>
        <v>#N/A</v>
      </c>
    </row>
    <row r="417" spans="1:4" x14ac:dyDescent="0.4">
      <c r="A417" t="s">
        <v>833</v>
      </c>
      <c r="B417" t="s">
        <v>834</v>
      </c>
      <c r="C417">
        <v>0</v>
      </c>
      <c r="D417" t="e">
        <f>VLOOKUP(A417,'MusiteDeep-11'!$A$1:$F$124,6,0)</f>
        <v>#N/A</v>
      </c>
    </row>
    <row r="418" spans="1:4" x14ac:dyDescent="0.4">
      <c r="A418" t="s">
        <v>835</v>
      </c>
      <c r="B418" t="s">
        <v>836</v>
      </c>
      <c r="C418">
        <v>0</v>
      </c>
      <c r="D418">
        <f>VLOOKUP(A418,'MusiteDeep-11'!$A$1:$F$124,6,0)</f>
        <v>0</v>
      </c>
    </row>
    <row r="419" spans="1:4" x14ac:dyDescent="0.4">
      <c r="A419" t="s">
        <v>837</v>
      </c>
      <c r="B419" t="s">
        <v>838</v>
      </c>
      <c r="C419">
        <v>0</v>
      </c>
      <c r="D419" t="e">
        <f>VLOOKUP(A419,'MusiteDeep-11'!$A$1:$F$124,6,0)</f>
        <v>#N/A</v>
      </c>
    </row>
    <row r="420" spans="1:4" x14ac:dyDescent="0.4">
      <c r="A420" t="s">
        <v>839</v>
      </c>
      <c r="B420" t="s">
        <v>840</v>
      </c>
      <c r="C420">
        <v>0</v>
      </c>
      <c r="D420" t="e">
        <f>VLOOKUP(A420,'MusiteDeep-11'!$A$1:$F$124,6,0)</f>
        <v>#N/A</v>
      </c>
    </row>
    <row r="421" spans="1:4" x14ac:dyDescent="0.4">
      <c r="A421" t="s">
        <v>841</v>
      </c>
      <c r="B421" t="s">
        <v>842</v>
      </c>
      <c r="C421">
        <v>0</v>
      </c>
      <c r="D421" t="e">
        <f>VLOOKUP(A421,'MusiteDeep-11'!$A$1:$F$124,6,0)</f>
        <v>#N/A</v>
      </c>
    </row>
    <row r="422" spans="1:4" x14ac:dyDescent="0.4">
      <c r="A422" t="s">
        <v>843</v>
      </c>
      <c r="B422" t="s">
        <v>844</v>
      </c>
      <c r="C422">
        <v>0</v>
      </c>
      <c r="D422" t="e">
        <f>VLOOKUP(A422,'MusiteDeep-11'!$A$1:$F$124,6,0)</f>
        <v>#N/A</v>
      </c>
    </row>
    <row r="423" spans="1:4" x14ac:dyDescent="0.4">
      <c r="A423" t="s">
        <v>845</v>
      </c>
      <c r="B423" t="s">
        <v>846</v>
      </c>
      <c r="C423">
        <v>0</v>
      </c>
      <c r="D423">
        <f>VLOOKUP(A423,'MusiteDeep-11'!$A$1:$F$124,6,0)</f>
        <v>0</v>
      </c>
    </row>
    <row r="424" spans="1:4" x14ac:dyDescent="0.4">
      <c r="A424" t="s">
        <v>847</v>
      </c>
      <c r="B424" t="s">
        <v>848</v>
      </c>
      <c r="C424">
        <v>0</v>
      </c>
      <c r="D424" t="e">
        <f>VLOOKUP(A424,'MusiteDeep-11'!$A$1:$F$124,6,0)</f>
        <v>#N/A</v>
      </c>
    </row>
    <row r="425" spans="1:4" x14ac:dyDescent="0.4">
      <c r="A425" t="s">
        <v>849</v>
      </c>
      <c r="B425" t="s">
        <v>850</v>
      </c>
      <c r="C425">
        <v>0</v>
      </c>
      <c r="D425" t="e">
        <f>VLOOKUP(A425,'MusiteDeep-11'!$A$1:$F$124,6,0)</f>
        <v>#N/A</v>
      </c>
    </row>
    <row r="426" spans="1:4" x14ac:dyDescent="0.4">
      <c r="A426" t="s">
        <v>851</v>
      </c>
      <c r="B426" t="s">
        <v>852</v>
      </c>
      <c r="C426">
        <v>0</v>
      </c>
      <c r="D426" t="e">
        <f>VLOOKUP(A426,'MusiteDeep-11'!$A$1:$F$124,6,0)</f>
        <v>#N/A</v>
      </c>
    </row>
    <row r="427" spans="1:4" x14ac:dyDescent="0.4">
      <c r="A427" t="s">
        <v>853</v>
      </c>
      <c r="B427" t="s">
        <v>854</v>
      </c>
      <c r="C427">
        <v>0</v>
      </c>
      <c r="D427">
        <f>VLOOKUP(A427,'MusiteDeep-11'!$A$1:$F$124,6,0)</f>
        <v>0</v>
      </c>
    </row>
    <row r="428" spans="1:4" x14ac:dyDescent="0.4">
      <c r="A428" t="s">
        <v>855</v>
      </c>
      <c r="B428" t="s">
        <v>856</v>
      </c>
      <c r="C428">
        <v>0</v>
      </c>
      <c r="D428" t="e">
        <f>VLOOKUP(A428,'MusiteDeep-11'!$A$1:$F$124,6,0)</f>
        <v>#N/A</v>
      </c>
    </row>
    <row r="429" spans="1:4" x14ac:dyDescent="0.4">
      <c r="A429" t="s">
        <v>857</v>
      </c>
      <c r="B429" t="s">
        <v>858</v>
      </c>
      <c r="C429">
        <v>0</v>
      </c>
      <c r="D429" t="e">
        <f>VLOOKUP(A429,'MusiteDeep-11'!$A$1:$F$124,6,0)</f>
        <v>#N/A</v>
      </c>
    </row>
    <row r="430" spans="1:4" x14ac:dyDescent="0.4">
      <c r="A430" t="s">
        <v>859</v>
      </c>
      <c r="B430" t="s">
        <v>860</v>
      </c>
      <c r="C430">
        <v>0</v>
      </c>
      <c r="D430">
        <f>VLOOKUP(A430,'MusiteDeep-11'!$A$1:$F$124,6,0)</f>
        <v>0</v>
      </c>
    </row>
    <row r="431" spans="1:4" x14ac:dyDescent="0.4">
      <c r="A431" t="s">
        <v>861</v>
      </c>
      <c r="B431" t="s">
        <v>862</v>
      </c>
      <c r="C431">
        <v>0</v>
      </c>
      <c r="D431" t="e">
        <f>VLOOKUP(A431,'MusiteDeep-11'!$A$1:$F$124,6,0)</f>
        <v>#N/A</v>
      </c>
    </row>
    <row r="432" spans="1:4" x14ac:dyDescent="0.4">
      <c r="A432" t="s">
        <v>863</v>
      </c>
      <c r="B432" t="s">
        <v>864</v>
      </c>
      <c r="C432">
        <v>0</v>
      </c>
      <c r="D432">
        <f>VLOOKUP(A432,'MusiteDeep-11'!$A$1:$F$124,6,0)</f>
        <v>0</v>
      </c>
    </row>
    <row r="433" spans="1:4" x14ac:dyDescent="0.4">
      <c r="A433" t="s">
        <v>865</v>
      </c>
      <c r="B433" t="s">
        <v>866</v>
      </c>
      <c r="C433">
        <v>0</v>
      </c>
      <c r="D433" t="e">
        <f>VLOOKUP(A433,'MusiteDeep-11'!$A$1:$F$124,6,0)</f>
        <v>#N/A</v>
      </c>
    </row>
    <row r="434" spans="1:4" x14ac:dyDescent="0.4">
      <c r="A434" t="s">
        <v>867</v>
      </c>
      <c r="B434" t="s">
        <v>868</v>
      </c>
      <c r="C434">
        <v>0</v>
      </c>
      <c r="D434">
        <f>VLOOKUP(A434,'MusiteDeep-11'!$A$1:$F$124,6,0)</f>
        <v>0</v>
      </c>
    </row>
    <row r="435" spans="1:4" x14ac:dyDescent="0.4">
      <c r="A435" t="s">
        <v>869</v>
      </c>
      <c r="B435" t="s">
        <v>870</v>
      </c>
      <c r="C435">
        <v>0</v>
      </c>
      <c r="D435" t="e">
        <f>VLOOKUP(A435,'MusiteDeep-11'!$A$1:$F$124,6,0)</f>
        <v>#N/A</v>
      </c>
    </row>
    <row r="436" spans="1:4" x14ac:dyDescent="0.4">
      <c r="A436" t="s">
        <v>871</v>
      </c>
      <c r="B436" t="s">
        <v>872</v>
      </c>
      <c r="C436">
        <v>0</v>
      </c>
      <c r="D436" t="e">
        <f>VLOOKUP(A436,'MusiteDeep-11'!$A$1:$F$124,6,0)</f>
        <v>#N/A</v>
      </c>
    </row>
    <row r="437" spans="1:4" x14ac:dyDescent="0.4">
      <c r="A437" t="s">
        <v>873</v>
      </c>
      <c r="B437" t="s">
        <v>874</v>
      </c>
      <c r="C437">
        <v>0</v>
      </c>
      <c r="D437">
        <f>VLOOKUP(A437,'MusiteDeep-11'!$A$1:$F$124,6,0)</f>
        <v>0</v>
      </c>
    </row>
    <row r="438" spans="1:4" x14ac:dyDescent="0.4">
      <c r="A438" t="s">
        <v>875</v>
      </c>
      <c r="B438" t="s">
        <v>876</v>
      </c>
      <c r="C438">
        <v>0</v>
      </c>
      <c r="D438" t="e">
        <f>VLOOKUP(A438,'MusiteDeep-11'!$A$1:$F$124,6,0)</f>
        <v>#N/A</v>
      </c>
    </row>
    <row r="439" spans="1:4" x14ac:dyDescent="0.4">
      <c r="A439" t="s">
        <v>877</v>
      </c>
      <c r="B439" t="s">
        <v>878</v>
      </c>
      <c r="C439">
        <v>0</v>
      </c>
      <c r="D439" t="e">
        <f>VLOOKUP(A439,'MusiteDeep-11'!$A$1:$F$124,6,0)</f>
        <v>#N/A</v>
      </c>
    </row>
    <row r="440" spans="1:4" x14ac:dyDescent="0.4">
      <c r="A440" t="s">
        <v>879</v>
      </c>
      <c r="B440" t="s">
        <v>880</v>
      </c>
      <c r="C440">
        <v>0</v>
      </c>
      <c r="D440" t="e">
        <f>VLOOKUP(A440,'MusiteDeep-11'!$A$1:$F$124,6,0)</f>
        <v>#N/A</v>
      </c>
    </row>
    <row r="441" spans="1:4" x14ac:dyDescent="0.4">
      <c r="A441" t="s">
        <v>881</v>
      </c>
      <c r="B441" t="s">
        <v>882</v>
      </c>
      <c r="C441">
        <v>0</v>
      </c>
      <c r="D441" t="e">
        <f>VLOOKUP(A441,'MusiteDeep-11'!$A$1:$F$124,6,0)</f>
        <v>#N/A</v>
      </c>
    </row>
    <row r="442" spans="1:4" x14ac:dyDescent="0.4">
      <c r="A442" t="s">
        <v>883</v>
      </c>
      <c r="B442" t="s">
        <v>884</v>
      </c>
      <c r="C442">
        <v>0</v>
      </c>
      <c r="D442" t="e">
        <f>VLOOKUP(A442,'MusiteDeep-11'!$A$1:$F$124,6,0)</f>
        <v>#N/A</v>
      </c>
    </row>
    <row r="443" spans="1:4" x14ac:dyDescent="0.4">
      <c r="A443" t="s">
        <v>885</v>
      </c>
      <c r="B443" t="s">
        <v>886</v>
      </c>
      <c r="C443">
        <v>0</v>
      </c>
      <c r="D443" t="e">
        <f>VLOOKUP(A443,'MusiteDeep-11'!$A$1:$F$124,6,0)</f>
        <v>#N/A</v>
      </c>
    </row>
    <row r="444" spans="1:4" x14ac:dyDescent="0.4">
      <c r="A444" t="s">
        <v>887</v>
      </c>
      <c r="B444" t="s">
        <v>888</v>
      </c>
      <c r="C444">
        <v>0</v>
      </c>
      <c r="D444">
        <f>VLOOKUP(A444,'MusiteDeep-11'!$A$1:$F$124,6,0)</f>
        <v>0</v>
      </c>
    </row>
    <row r="445" spans="1:4" x14ac:dyDescent="0.4">
      <c r="A445" t="s">
        <v>889</v>
      </c>
      <c r="B445" t="s">
        <v>890</v>
      </c>
      <c r="C445">
        <v>0</v>
      </c>
      <c r="D445" t="e">
        <f>VLOOKUP(A445,'MusiteDeep-11'!$A$1:$F$124,6,0)</f>
        <v>#N/A</v>
      </c>
    </row>
    <row r="446" spans="1:4" x14ac:dyDescent="0.4">
      <c r="A446" t="s">
        <v>891</v>
      </c>
      <c r="B446" t="s">
        <v>892</v>
      </c>
      <c r="C446">
        <v>0</v>
      </c>
      <c r="D446" t="e">
        <f>VLOOKUP(A446,'MusiteDeep-11'!$A$1:$F$124,6,0)</f>
        <v>#N/A</v>
      </c>
    </row>
    <row r="447" spans="1:4" x14ac:dyDescent="0.4">
      <c r="A447" t="s">
        <v>893</v>
      </c>
      <c r="B447" t="s">
        <v>894</v>
      </c>
      <c r="C447">
        <v>0</v>
      </c>
      <c r="D447" t="e">
        <f>VLOOKUP(A447,'MusiteDeep-11'!$A$1:$F$124,6,0)</f>
        <v>#N/A</v>
      </c>
    </row>
    <row r="448" spans="1:4" x14ac:dyDescent="0.4">
      <c r="A448" t="s">
        <v>895</v>
      </c>
      <c r="B448" t="s">
        <v>896</v>
      </c>
      <c r="C448">
        <v>0</v>
      </c>
      <c r="D448" t="e">
        <f>VLOOKUP(A448,'MusiteDeep-11'!$A$1:$F$124,6,0)</f>
        <v>#N/A</v>
      </c>
    </row>
    <row r="449" spans="1:4" x14ac:dyDescent="0.4">
      <c r="A449" t="s">
        <v>897</v>
      </c>
      <c r="B449" t="s">
        <v>898</v>
      </c>
      <c r="C449">
        <v>0</v>
      </c>
      <c r="D449">
        <f>VLOOKUP(A449,'MusiteDeep-11'!$A$1:$F$124,6,0)</f>
        <v>0</v>
      </c>
    </row>
    <row r="450" spans="1:4" x14ac:dyDescent="0.4">
      <c r="A450" t="s">
        <v>899</v>
      </c>
      <c r="B450" t="s">
        <v>900</v>
      </c>
      <c r="C450">
        <v>0</v>
      </c>
      <c r="D450" t="e">
        <f>VLOOKUP(A450,'MusiteDeep-11'!$A$1:$F$124,6,0)</f>
        <v>#N/A</v>
      </c>
    </row>
    <row r="451" spans="1:4" x14ac:dyDescent="0.4">
      <c r="A451" t="s">
        <v>901</v>
      </c>
      <c r="B451" t="s">
        <v>902</v>
      </c>
      <c r="C451">
        <v>0</v>
      </c>
      <c r="D451">
        <f>VLOOKUP(A451,'MusiteDeep-11'!$A$1:$F$124,6,0)</f>
        <v>0</v>
      </c>
    </row>
    <row r="452" spans="1:4" x14ac:dyDescent="0.4">
      <c r="A452" t="s">
        <v>903</v>
      </c>
      <c r="B452" t="s">
        <v>904</v>
      </c>
      <c r="C452">
        <v>0</v>
      </c>
      <c r="D452" t="e">
        <f>VLOOKUP(A452,'MusiteDeep-11'!$A$1:$F$124,6,0)</f>
        <v>#N/A</v>
      </c>
    </row>
    <row r="453" spans="1:4" x14ac:dyDescent="0.4">
      <c r="A453" t="s">
        <v>905</v>
      </c>
      <c r="B453" t="s">
        <v>906</v>
      </c>
      <c r="C453">
        <v>0</v>
      </c>
      <c r="D453" t="e">
        <f>VLOOKUP(A453,'MusiteDeep-11'!$A$1:$F$124,6,0)</f>
        <v>#N/A</v>
      </c>
    </row>
    <row r="454" spans="1:4" x14ac:dyDescent="0.4">
      <c r="A454" t="s">
        <v>907</v>
      </c>
      <c r="B454" t="s">
        <v>908</v>
      </c>
      <c r="C454">
        <v>0</v>
      </c>
      <c r="D454">
        <f>VLOOKUP(A454,'MusiteDeep-11'!$A$1:$F$124,6,0)</f>
        <v>0</v>
      </c>
    </row>
    <row r="455" spans="1:4" x14ac:dyDescent="0.4">
      <c r="A455" t="s">
        <v>909</v>
      </c>
      <c r="B455" t="s">
        <v>910</v>
      </c>
      <c r="C455">
        <v>0</v>
      </c>
      <c r="D455" t="e">
        <f>VLOOKUP(A455,'MusiteDeep-11'!$A$1:$F$124,6,0)</f>
        <v>#N/A</v>
      </c>
    </row>
    <row r="456" spans="1:4" x14ac:dyDescent="0.4">
      <c r="A456" t="s">
        <v>911</v>
      </c>
      <c r="B456" t="s">
        <v>912</v>
      </c>
      <c r="C456">
        <v>0</v>
      </c>
      <c r="D456" t="e">
        <f>VLOOKUP(A456,'MusiteDeep-11'!$A$1:$F$124,6,0)</f>
        <v>#N/A</v>
      </c>
    </row>
    <row r="457" spans="1:4" x14ac:dyDescent="0.4">
      <c r="A457" t="s">
        <v>913</v>
      </c>
      <c r="B457" t="s">
        <v>914</v>
      </c>
      <c r="C457">
        <v>0</v>
      </c>
      <c r="D457" t="e">
        <f>VLOOKUP(A457,'MusiteDeep-11'!$A$1:$F$124,6,0)</f>
        <v>#N/A</v>
      </c>
    </row>
    <row r="458" spans="1:4" x14ac:dyDescent="0.4">
      <c r="A458" t="s">
        <v>915</v>
      </c>
      <c r="B458" t="s">
        <v>916</v>
      </c>
      <c r="C458">
        <v>0</v>
      </c>
      <c r="D458" t="e">
        <f>VLOOKUP(A458,'MusiteDeep-11'!$A$1:$F$124,6,0)</f>
        <v>#N/A</v>
      </c>
    </row>
    <row r="459" spans="1:4" x14ac:dyDescent="0.4">
      <c r="A459" t="s">
        <v>917</v>
      </c>
      <c r="B459" t="s">
        <v>918</v>
      </c>
      <c r="C459">
        <v>0</v>
      </c>
      <c r="D459" t="e">
        <f>VLOOKUP(A459,'MusiteDeep-11'!$A$1:$F$124,6,0)</f>
        <v>#N/A</v>
      </c>
    </row>
    <row r="460" spans="1:4" x14ac:dyDescent="0.4">
      <c r="A460" t="s">
        <v>919</v>
      </c>
      <c r="B460" t="s">
        <v>920</v>
      </c>
      <c r="C460">
        <v>0</v>
      </c>
      <c r="D460" t="e">
        <f>VLOOKUP(A460,'MusiteDeep-11'!$A$1:$F$124,6,0)</f>
        <v>#N/A</v>
      </c>
    </row>
    <row r="461" spans="1:4" x14ac:dyDescent="0.4">
      <c r="A461" t="s">
        <v>921</v>
      </c>
      <c r="B461" t="s">
        <v>922</v>
      </c>
      <c r="C461">
        <v>0</v>
      </c>
      <c r="D461" t="e">
        <f>VLOOKUP(A461,'MusiteDeep-11'!$A$1:$F$124,6,0)</f>
        <v>#N/A</v>
      </c>
    </row>
    <row r="462" spans="1:4" x14ac:dyDescent="0.4">
      <c r="A462" t="s">
        <v>923</v>
      </c>
      <c r="B462" t="s">
        <v>924</v>
      </c>
      <c r="C462">
        <v>0</v>
      </c>
      <c r="D462" t="e">
        <f>VLOOKUP(A462,'MusiteDeep-11'!$A$1:$F$124,6,0)</f>
        <v>#N/A</v>
      </c>
    </row>
    <row r="463" spans="1:4" x14ac:dyDescent="0.4">
      <c r="A463" t="s">
        <v>925</v>
      </c>
      <c r="B463" t="s">
        <v>926</v>
      </c>
      <c r="C463">
        <v>0</v>
      </c>
      <c r="D463" t="e">
        <f>VLOOKUP(A463,'MusiteDeep-11'!$A$1:$F$124,6,0)</f>
        <v>#N/A</v>
      </c>
    </row>
    <row r="464" spans="1:4" x14ac:dyDescent="0.4">
      <c r="A464" t="s">
        <v>927</v>
      </c>
      <c r="B464" t="s">
        <v>928</v>
      </c>
      <c r="C464">
        <v>0</v>
      </c>
      <c r="D464">
        <f>VLOOKUP(A464,'MusiteDeep-11'!$A$1:$F$124,6,0)</f>
        <v>0</v>
      </c>
    </row>
    <row r="465" spans="1:4" x14ac:dyDescent="0.4">
      <c r="A465" t="s">
        <v>929</v>
      </c>
      <c r="B465" t="s">
        <v>930</v>
      </c>
      <c r="C465">
        <v>0</v>
      </c>
      <c r="D465" t="e">
        <f>VLOOKUP(A465,'MusiteDeep-11'!$A$1:$F$124,6,0)</f>
        <v>#N/A</v>
      </c>
    </row>
    <row r="466" spans="1:4" x14ac:dyDescent="0.4">
      <c r="A466" t="s">
        <v>931</v>
      </c>
      <c r="B466" t="s">
        <v>932</v>
      </c>
      <c r="C466">
        <v>0</v>
      </c>
      <c r="D466" t="e">
        <f>VLOOKUP(A466,'MusiteDeep-11'!$A$1:$F$124,6,0)</f>
        <v>#N/A</v>
      </c>
    </row>
    <row r="467" spans="1:4" x14ac:dyDescent="0.4">
      <c r="A467" t="s">
        <v>933</v>
      </c>
      <c r="B467" t="s">
        <v>934</v>
      </c>
      <c r="C467">
        <v>0</v>
      </c>
      <c r="D467">
        <f>VLOOKUP(A467,'MusiteDeep-11'!$A$1:$F$124,6,0)</f>
        <v>0</v>
      </c>
    </row>
    <row r="468" spans="1:4" x14ac:dyDescent="0.4">
      <c r="A468" t="s">
        <v>935</v>
      </c>
      <c r="B468" t="s">
        <v>936</v>
      </c>
      <c r="C468">
        <v>0</v>
      </c>
      <c r="D468" t="e">
        <f>VLOOKUP(A468,'MusiteDeep-11'!$A$1:$F$124,6,0)</f>
        <v>#N/A</v>
      </c>
    </row>
    <row r="469" spans="1:4" x14ac:dyDescent="0.4">
      <c r="A469" t="s">
        <v>937</v>
      </c>
      <c r="B469" t="s">
        <v>938</v>
      </c>
      <c r="C469">
        <v>0</v>
      </c>
      <c r="D469" t="e">
        <f>VLOOKUP(A469,'MusiteDeep-11'!$A$1:$F$124,6,0)</f>
        <v>#N/A</v>
      </c>
    </row>
    <row r="470" spans="1:4" x14ac:dyDescent="0.4">
      <c r="A470" t="s">
        <v>939</v>
      </c>
      <c r="B470" t="s">
        <v>940</v>
      </c>
      <c r="C470">
        <v>0</v>
      </c>
      <c r="D470" t="e">
        <f>VLOOKUP(A470,'MusiteDeep-11'!$A$1:$F$124,6,0)</f>
        <v>#N/A</v>
      </c>
    </row>
    <row r="471" spans="1:4" x14ac:dyDescent="0.4">
      <c r="A471" t="s">
        <v>941</v>
      </c>
      <c r="B471" t="s">
        <v>942</v>
      </c>
      <c r="C471">
        <v>0</v>
      </c>
      <c r="D471" t="e">
        <f>VLOOKUP(A471,'MusiteDeep-11'!$A$1:$F$124,6,0)</f>
        <v>#N/A</v>
      </c>
    </row>
    <row r="472" spans="1:4" x14ac:dyDescent="0.4">
      <c r="A472" t="s">
        <v>943</v>
      </c>
      <c r="B472" t="s">
        <v>944</v>
      </c>
      <c r="C472">
        <v>0</v>
      </c>
      <c r="D472" t="e">
        <f>VLOOKUP(A472,'MusiteDeep-11'!$A$1:$F$124,6,0)</f>
        <v>#N/A</v>
      </c>
    </row>
    <row r="473" spans="1:4" x14ac:dyDescent="0.4">
      <c r="A473" t="s">
        <v>945</v>
      </c>
      <c r="B473" t="s">
        <v>946</v>
      </c>
      <c r="C473">
        <v>0</v>
      </c>
      <c r="D473" t="e">
        <f>VLOOKUP(A473,'MusiteDeep-11'!$A$1:$F$124,6,0)</f>
        <v>#N/A</v>
      </c>
    </row>
    <row r="474" spans="1:4" x14ac:dyDescent="0.4">
      <c r="A474" t="s">
        <v>947</v>
      </c>
      <c r="B474" t="s">
        <v>948</v>
      </c>
      <c r="C474">
        <v>0</v>
      </c>
      <c r="D474">
        <f>VLOOKUP(A474,'MusiteDeep-11'!$A$1:$F$124,6,0)</f>
        <v>0</v>
      </c>
    </row>
    <row r="475" spans="1:4" x14ac:dyDescent="0.4">
      <c r="A475" t="s">
        <v>949</v>
      </c>
      <c r="B475" t="s">
        <v>950</v>
      </c>
      <c r="C475">
        <v>0</v>
      </c>
      <c r="D475" t="e">
        <f>VLOOKUP(A475,'MusiteDeep-11'!$A$1:$F$124,6,0)</f>
        <v>#N/A</v>
      </c>
    </row>
    <row r="476" spans="1:4" x14ac:dyDescent="0.4">
      <c r="A476" t="s">
        <v>951</v>
      </c>
      <c r="B476" t="s">
        <v>952</v>
      </c>
      <c r="C476">
        <v>0</v>
      </c>
      <c r="D476" t="e">
        <f>VLOOKUP(A476,'MusiteDeep-11'!$A$1:$F$124,6,0)</f>
        <v>#N/A</v>
      </c>
    </row>
    <row r="477" spans="1:4" x14ac:dyDescent="0.4">
      <c r="A477" t="s">
        <v>953</v>
      </c>
      <c r="B477" t="s">
        <v>954</v>
      </c>
      <c r="C477">
        <v>0</v>
      </c>
      <c r="D477" t="e">
        <f>VLOOKUP(A477,'MusiteDeep-11'!$A$1:$F$124,6,0)</f>
        <v>#N/A</v>
      </c>
    </row>
    <row r="478" spans="1:4" x14ac:dyDescent="0.4">
      <c r="A478" t="s">
        <v>955</v>
      </c>
      <c r="B478" t="s">
        <v>956</v>
      </c>
      <c r="C478">
        <v>0</v>
      </c>
      <c r="D478" t="e">
        <f>VLOOKUP(A478,'MusiteDeep-11'!$A$1:$F$124,6,0)</f>
        <v>#N/A</v>
      </c>
    </row>
    <row r="479" spans="1:4" x14ac:dyDescent="0.4">
      <c r="A479" t="s">
        <v>957</v>
      </c>
      <c r="B479" t="s">
        <v>958</v>
      </c>
      <c r="C479">
        <v>0</v>
      </c>
      <c r="D479" t="e">
        <f>VLOOKUP(A479,'MusiteDeep-11'!$A$1:$F$124,6,0)</f>
        <v>#N/A</v>
      </c>
    </row>
    <row r="480" spans="1:4" x14ac:dyDescent="0.4">
      <c r="A480" t="s">
        <v>959</v>
      </c>
      <c r="B480" t="s">
        <v>960</v>
      </c>
      <c r="C480">
        <v>0</v>
      </c>
      <c r="D480" t="e">
        <f>VLOOKUP(A480,'MusiteDeep-11'!$A$1:$F$124,6,0)</f>
        <v>#N/A</v>
      </c>
    </row>
    <row r="481" spans="1:4" x14ac:dyDescent="0.4">
      <c r="A481" t="s">
        <v>961</v>
      </c>
      <c r="B481" t="s">
        <v>962</v>
      </c>
      <c r="C481">
        <v>0</v>
      </c>
      <c r="D481" t="e">
        <f>VLOOKUP(A481,'MusiteDeep-11'!$A$1:$F$124,6,0)</f>
        <v>#N/A</v>
      </c>
    </row>
    <row r="482" spans="1:4" x14ac:dyDescent="0.4">
      <c r="A482" t="s">
        <v>963</v>
      </c>
      <c r="B482" t="s">
        <v>964</v>
      </c>
      <c r="C482">
        <v>0</v>
      </c>
      <c r="D482" t="e">
        <f>VLOOKUP(A482,'MusiteDeep-11'!$A$1:$F$124,6,0)</f>
        <v>#N/A</v>
      </c>
    </row>
    <row r="483" spans="1:4" x14ac:dyDescent="0.4">
      <c r="A483" t="s">
        <v>965</v>
      </c>
      <c r="B483" t="s">
        <v>966</v>
      </c>
      <c r="C483">
        <v>0</v>
      </c>
      <c r="D483" t="e">
        <f>VLOOKUP(A483,'MusiteDeep-11'!$A$1:$F$124,6,0)</f>
        <v>#N/A</v>
      </c>
    </row>
    <row r="484" spans="1:4" x14ac:dyDescent="0.4">
      <c r="A484" t="s">
        <v>967</v>
      </c>
      <c r="B484" t="s">
        <v>968</v>
      </c>
      <c r="C484">
        <v>0</v>
      </c>
      <c r="D484">
        <f>VLOOKUP(A484,'MusiteDeep-11'!$A$1:$F$124,6,0)</f>
        <v>0</v>
      </c>
    </row>
    <row r="485" spans="1:4" x14ac:dyDescent="0.4">
      <c r="A485" t="s">
        <v>969</v>
      </c>
      <c r="B485" t="s">
        <v>970</v>
      </c>
      <c r="C485">
        <v>0</v>
      </c>
      <c r="D485" t="e">
        <f>VLOOKUP(A485,'MusiteDeep-11'!$A$1:$F$124,6,0)</f>
        <v>#N/A</v>
      </c>
    </row>
    <row r="486" spans="1:4" x14ac:dyDescent="0.4">
      <c r="A486" t="s">
        <v>971</v>
      </c>
      <c r="B486" t="s">
        <v>972</v>
      </c>
      <c r="C486">
        <v>0</v>
      </c>
      <c r="D486" t="e">
        <f>VLOOKUP(A486,'MusiteDeep-11'!$A$1:$F$124,6,0)</f>
        <v>#N/A</v>
      </c>
    </row>
    <row r="487" spans="1:4" x14ac:dyDescent="0.4">
      <c r="A487" t="s">
        <v>973</v>
      </c>
      <c r="B487" t="s">
        <v>974</v>
      </c>
      <c r="C487">
        <v>0</v>
      </c>
      <c r="D487">
        <f>VLOOKUP(A487,'MusiteDeep-11'!$A$1:$F$124,6,0)</f>
        <v>0</v>
      </c>
    </row>
    <row r="488" spans="1:4" x14ac:dyDescent="0.4">
      <c r="A488" t="s">
        <v>975</v>
      </c>
      <c r="B488" t="s">
        <v>976</v>
      </c>
      <c r="C488">
        <v>0</v>
      </c>
      <c r="D488">
        <f>VLOOKUP(A488,'MusiteDeep-11'!$A$1:$F$124,6,0)</f>
        <v>0</v>
      </c>
    </row>
    <row r="489" spans="1:4" x14ac:dyDescent="0.4">
      <c r="A489" t="s">
        <v>977</v>
      </c>
      <c r="B489" t="s">
        <v>978</v>
      </c>
      <c r="C489">
        <v>0</v>
      </c>
      <c r="D489" t="e">
        <f>VLOOKUP(A489,'MusiteDeep-11'!$A$1:$F$124,6,0)</f>
        <v>#N/A</v>
      </c>
    </row>
    <row r="490" spans="1:4" x14ac:dyDescent="0.4">
      <c r="A490" t="s">
        <v>979</v>
      </c>
      <c r="B490" t="s">
        <v>980</v>
      </c>
      <c r="C490">
        <v>0</v>
      </c>
      <c r="D490" t="e">
        <f>VLOOKUP(A490,'MusiteDeep-11'!$A$1:$F$124,6,0)</f>
        <v>#N/A</v>
      </c>
    </row>
    <row r="491" spans="1:4" x14ac:dyDescent="0.4">
      <c r="A491" t="s">
        <v>981</v>
      </c>
      <c r="B491" t="s">
        <v>982</v>
      </c>
      <c r="C491">
        <v>0</v>
      </c>
      <c r="D491" t="e">
        <f>VLOOKUP(A491,'MusiteDeep-11'!$A$1:$F$124,6,0)</f>
        <v>#N/A</v>
      </c>
    </row>
    <row r="492" spans="1:4" x14ac:dyDescent="0.4">
      <c r="A492" t="s">
        <v>983</v>
      </c>
      <c r="B492" t="s">
        <v>984</v>
      </c>
      <c r="C492">
        <v>0</v>
      </c>
      <c r="D492" t="e">
        <f>VLOOKUP(A492,'MusiteDeep-11'!$A$1:$F$124,6,0)</f>
        <v>#N/A</v>
      </c>
    </row>
    <row r="493" spans="1:4" x14ac:dyDescent="0.4">
      <c r="A493" t="s">
        <v>985</v>
      </c>
      <c r="B493" t="s">
        <v>986</v>
      </c>
      <c r="C493">
        <v>0</v>
      </c>
      <c r="D493">
        <f>VLOOKUP(A493,'MusiteDeep-11'!$A$1:$F$124,6,0)</f>
        <v>0</v>
      </c>
    </row>
    <row r="494" spans="1:4" x14ac:dyDescent="0.4">
      <c r="A494" t="s">
        <v>987</v>
      </c>
      <c r="B494" t="s">
        <v>988</v>
      </c>
      <c r="C494">
        <v>0</v>
      </c>
      <c r="D494" t="e">
        <f>VLOOKUP(A494,'MusiteDeep-11'!$A$1:$F$124,6,0)</f>
        <v>#N/A</v>
      </c>
    </row>
    <row r="495" spans="1:4" x14ac:dyDescent="0.4">
      <c r="A495" t="s">
        <v>989</v>
      </c>
      <c r="B495" t="s">
        <v>990</v>
      </c>
      <c r="C495">
        <v>0</v>
      </c>
      <c r="D495" t="e">
        <f>VLOOKUP(A495,'MusiteDeep-11'!$A$1:$F$124,6,0)</f>
        <v>#N/A</v>
      </c>
    </row>
    <row r="496" spans="1:4" x14ac:dyDescent="0.4">
      <c r="A496" t="s">
        <v>991</v>
      </c>
      <c r="B496" t="s">
        <v>992</v>
      </c>
      <c r="C496">
        <v>0</v>
      </c>
      <c r="D496" t="e">
        <f>VLOOKUP(A496,'MusiteDeep-11'!$A$1:$F$124,6,0)</f>
        <v>#N/A</v>
      </c>
    </row>
    <row r="497" spans="1:4" x14ac:dyDescent="0.4">
      <c r="A497" t="s">
        <v>993</v>
      </c>
      <c r="B497" t="s">
        <v>994</v>
      </c>
      <c r="C497">
        <v>0</v>
      </c>
      <c r="D497" t="e">
        <f>VLOOKUP(A497,'MusiteDeep-11'!$A$1:$F$124,6,0)</f>
        <v>#N/A</v>
      </c>
    </row>
    <row r="498" spans="1:4" x14ac:dyDescent="0.4">
      <c r="A498" t="s">
        <v>995</v>
      </c>
      <c r="B498" t="s">
        <v>996</v>
      </c>
      <c r="C498">
        <v>0</v>
      </c>
      <c r="D498" t="e">
        <f>VLOOKUP(A498,'MusiteDeep-11'!$A$1:$F$124,6,0)</f>
        <v>#N/A</v>
      </c>
    </row>
    <row r="499" spans="1:4" x14ac:dyDescent="0.4">
      <c r="A499" t="s">
        <v>997</v>
      </c>
      <c r="B499" t="s">
        <v>998</v>
      </c>
      <c r="C499">
        <v>0</v>
      </c>
      <c r="D499" t="e">
        <f>VLOOKUP(A499,'MusiteDeep-11'!$A$1:$F$124,6,0)</f>
        <v>#N/A</v>
      </c>
    </row>
    <row r="500" spans="1:4" x14ac:dyDescent="0.4">
      <c r="A500" t="s">
        <v>999</v>
      </c>
      <c r="B500" t="s">
        <v>1000</v>
      </c>
      <c r="C500">
        <v>0</v>
      </c>
      <c r="D500" t="e">
        <f>VLOOKUP(A500,'MusiteDeep-11'!$A$1:$F$124,6,0)</f>
        <v>#N/A</v>
      </c>
    </row>
    <row r="501" spans="1:4" x14ac:dyDescent="0.4">
      <c r="A501" t="s">
        <v>1001</v>
      </c>
      <c r="B501" t="s">
        <v>1002</v>
      </c>
      <c r="C501">
        <v>0</v>
      </c>
      <c r="D501" t="e">
        <f>VLOOKUP(A501,'MusiteDeep-11'!$A$1:$F$124,6,0)</f>
        <v>#N/A</v>
      </c>
    </row>
    <row r="502" spans="1:4" x14ac:dyDescent="0.4">
      <c r="A502" t="s">
        <v>1003</v>
      </c>
      <c r="B502" t="s">
        <v>1004</v>
      </c>
      <c r="C502">
        <v>0</v>
      </c>
      <c r="D502" t="e">
        <f>VLOOKUP(A502,'MusiteDeep-11'!$A$1:$F$124,6,0)</f>
        <v>#N/A</v>
      </c>
    </row>
    <row r="503" spans="1:4" x14ac:dyDescent="0.4">
      <c r="A503" t="s">
        <v>1005</v>
      </c>
      <c r="B503" t="s">
        <v>1006</v>
      </c>
      <c r="C503">
        <v>0</v>
      </c>
      <c r="D503" t="e">
        <f>VLOOKUP(A503,'MusiteDeep-11'!$A$1:$F$124,6,0)</f>
        <v>#N/A</v>
      </c>
    </row>
    <row r="504" spans="1:4" x14ac:dyDescent="0.4">
      <c r="A504" t="s">
        <v>1007</v>
      </c>
      <c r="B504" t="s">
        <v>1008</v>
      </c>
      <c r="C504">
        <v>0</v>
      </c>
      <c r="D504">
        <f>VLOOKUP(A504,'MusiteDeep-11'!$A$1:$F$124,6,0)</f>
        <v>0</v>
      </c>
    </row>
    <row r="505" spans="1:4" x14ac:dyDescent="0.4">
      <c r="A505" t="s">
        <v>1009</v>
      </c>
      <c r="B505" t="s">
        <v>1010</v>
      </c>
      <c r="C505">
        <v>0</v>
      </c>
      <c r="D505" t="e">
        <f>VLOOKUP(A505,'MusiteDeep-11'!$A$1:$F$124,6,0)</f>
        <v>#N/A</v>
      </c>
    </row>
    <row r="506" spans="1:4" x14ac:dyDescent="0.4">
      <c r="A506" t="s">
        <v>1011</v>
      </c>
      <c r="B506" t="s">
        <v>1012</v>
      </c>
      <c r="C506">
        <v>0</v>
      </c>
      <c r="D506" t="e">
        <f>VLOOKUP(A506,'MusiteDeep-11'!$A$1:$F$124,6,0)</f>
        <v>#N/A</v>
      </c>
    </row>
    <row r="507" spans="1:4" x14ac:dyDescent="0.4">
      <c r="A507" t="s">
        <v>1013</v>
      </c>
      <c r="B507" t="s">
        <v>1014</v>
      </c>
      <c r="C507">
        <v>0</v>
      </c>
      <c r="D507" t="e">
        <f>VLOOKUP(A507,'MusiteDeep-11'!$A$1:$F$124,6,0)</f>
        <v>#N/A</v>
      </c>
    </row>
    <row r="508" spans="1:4" x14ac:dyDescent="0.4">
      <c r="A508" t="s">
        <v>1015</v>
      </c>
      <c r="B508" t="s">
        <v>1016</v>
      </c>
      <c r="C508">
        <v>0</v>
      </c>
      <c r="D508" t="e">
        <f>VLOOKUP(A508,'MusiteDeep-11'!$A$1:$F$124,6,0)</f>
        <v>#N/A</v>
      </c>
    </row>
    <row r="509" spans="1:4" x14ac:dyDescent="0.4">
      <c r="A509" t="s">
        <v>1017</v>
      </c>
      <c r="B509" t="s">
        <v>1018</v>
      </c>
      <c r="C509">
        <v>0</v>
      </c>
      <c r="D509" t="e">
        <f>VLOOKUP(A509,'MusiteDeep-11'!$A$1:$F$124,6,0)</f>
        <v>#N/A</v>
      </c>
    </row>
    <row r="510" spans="1:4" x14ac:dyDescent="0.4">
      <c r="A510" t="s">
        <v>1019</v>
      </c>
      <c r="B510" t="s">
        <v>1020</v>
      </c>
      <c r="C510">
        <v>0</v>
      </c>
      <c r="D510" t="e">
        <f>VLOOKUP(A510,'MusiteDeep-11'!$A$1:$F$124,6,0)</f>
        <v>#N/A</v>
      </c>
    </row>
    <row r="511" spans="1:4" x14ac:dyDescent="0.4">
      <c r="A511" t="s">
        <v>1021</v>
      </c>
      <c r="B511" t="s">
        <v>1022</v>
      </c>
      <c r="C511">
        <v>0</v>
      </c>
      <c r="D511" t="e">
        <f>VLOOKUP(A511,'MusiteDeep-11'!$A$1:$F$124,6,0)</f>
        <v>#N/A</v>
      </c>
    </row>
    <row r="512" spans="1:4" x14ac:dyDescent="0.4">
      <c r="A512" t="s">
        <v>1023</v>
      </c>
      <c r="B512" t="s">
        <v>1024</v>
      </c>
      <c r="C512">
        <v>0</v>
      </c>
      <c r="D512" t="e">
        <f>VLOOKUP(A512,'MusiteDeep-11'!$A$1:$F$124,6,0)</f>
        <v>#N/A</v>
      </c>
    </row>
    <row r="513" spans="1:4" x14ac:dyDescent="0.4">
      <c r="A513" t="s">
        <v>1025</v>
      </c>
      <c r="B513" t="s">
        <v>1026</v>
      </c>
      <c r="C513">
        <v>0</v>
      </c>
      <c r="D513" t="e">
        <f>VLOOKUP(A513,'MusiteDeep-11'!$A$1:$F$124,6,0)</f>
        <v>#N/A</v>
      </c>
    </row>
    <row r="514" spans="1:4" x14ac:dyDescent="0.4">
      <c r="A514" t="s">
        <v>1027</v>
      </c>
      <c r="B514" t="s">
        <v>1028</v>
      </c>
      <c r="C514">
        <v>0</v>
      </c>
      <c r="D514" t="e">
        <f>VLOOKUP(A514,'MusiteDeep-11'!$A$1:$F$124,6,0)</f>
        <v>#N/A</v>
      </c>
    </row>
    <row r="515" spans="1:4" x14ac:dyDescent="0.4">
      <c r="A515" t="s">
        <v>1029</v>
      </c>
      <c r="B515" t="s">
        <v>1030</v>
      </c>
      <c r="C515">
        <v>0</v>
      </c>
      <c r="D515" t="e">
        <f>VLOOKUP(A515,'MusiteDeep-11'!$A$1:$F$124,6,0)</f>
        <v>#N/A</v>
      </c>
    </row>
    <row r="516" spans="1:4" x14ac:dyDescent="0.4">
      <c r="A516" t="s">
        <v>1031</v>
      </c>
      <c r="B516" t="s">
        <v>1032</v>
      </c>
      <c r="C516">
        <v>0</v>
      </c>
      <c r="D516" t="e">
        <f>VLOOKUP(A516,'MusiteDeep-11'!$A$1:$F$124,6,0)</f>
        <v>#N/A</v>
      </c>
    </row>
    <row r="517" spans="1:4" x14ac:dyDescent="0.4">
      <c r="A517" t="s">
        <v>1033</v>
      </c>
      <c r="B517" t="s">
        <v>1034</v>
      </c>
      <c r="C517">
        <v>0</v>
      </c>
      <c r="D517" t="e">
        <f>VLOOKUP(A517,'MusiteDeep-11'!$A$1:$F$124,6,0)</f>
        <v>#N/A</v>
      </c>
    </row>
    <row r="518" spans="1:4" x14ac:dyDescent="0.4">
      <c r="A518" t="s">
        <v>1035</v>
      </c>
      <c r="B518" t="s">
        <v>1036</v>
      </c>
      <c r="C518">
        <v>0</v>
      </c>
      <c r="D518" t="e">
        <f>VLOOKUP(A518,'MusiteDeep-11'!$A$1:$F$124,6,0)</f>
        <v>#N/A</v>
      </c>
    </row>
    <row r="519" spans="1:4" x14ac:dyDescent="0.4">
      <c r="A519" t="s">
        <v>1037</v>
      </c>
      <c r="B519" t="s">
        <v>1038</v>
      </c>
      <c r="C519">
        <v>0</v>
      </c>
      <c r="D519">
        <f>VLOOKUP(A519,'MusiteDeep-11'!$A$1:$F$124,6,0)</f>
        <v>0</v>
      </c>
    </row>
    <row r="520" spans="1:4" x14ac:dyDescent="0.4">
      <c r="A520" t="s">
        <v>1039</v>
      </c>
      <c r="B520" t="s">
        <v>1040</v>
      </c>
      <c r="C520">
        <v>0</v>
      </c>
      <c r="D520" t="e">
        <f>VLOOKUP(A520,'MusiteDeep-11'!$A$1:$F$124,6,0)</f>
        <v>#N/A</v>
      </c>
    </row>
    <row r="521" spans="1:4" x14ac:dyDescent="0.4">
      <c r="A521" t="s">
        <v>1041</v>
      </c>
      <c r="B521" t="s">
        <v>1042</v>
      </c>
      <c r="C521">
        <v>0</v>
      </c>
      <c r="D521" t="e">
        <f>VLOOKUP(A521,'MusiteDeep-11'!$A$1:$F$124,6,0)</f>
        <v>#N/A</v>
      </c>
    </row>
    <row r="522" spans="1:4" x14ac:dyDescent="0.4">
      <c r="A522" t="s">
        <v>1043</v>
      </c>
      <c r="B522" t="s">
        <v>1044</v>
      </c>
      <c r="C522">
        <v>0</v>
      </c>
      <c r="D522" t="e">
        <f>VLOOKUP(A522,'MusiteDeep-11'!$A$1:$F$124,6,0)</f>
        <v>#N/A</v>
      </c>
    </row>
    <row r="523" spans="1:4" x14ac:dyDescent="0.4">
      <c r="A523" t="s">
        <v>1045</v>
      </c>
      <c r="B523" t="s">
        <v>1046</v>
      </c>
      <c r="C523">
        <v>0</v>
      </c>
      <c r="D523">
        <f>VLOOKUP(A523,'MusiteDeep-11'!$A$1:$F$124,6,0)</f>
        <v>0</v>
      </c>
    </row>
    <row r="524" spans="1:4" x14ac:dyDescent="0.4">
      <c r="A524" t="s">
        <v>1047</v>
      </c>
      <c r="B524" t="s">
        <v>1048</v>
      </c>
      <c r="C524">
        <v>0</v>
      </c>
      <c r="D524" t="e">
        <f>VLOOKUP(A524,'MusiteDeep-11'!$A$1:$F$124,6,0)</f>
        <v>#N/A</v>
      </c>
    </row>
    <row r="525" spans="1:4" x14ac:dyDescent="0.4">
      <c r="A525" t="s">
        <v>1049</v>
      </c>
      <c r="B525" t="s">
        <v>1050</v>
      </c>
      <c r="C525">
        <v>0</v>
      </c>
      <c r="D525" t="e">
        <f>VLOOKUP(A525,'MusiteDeep-11'!$A$1:$F$124,6,0)</f>
        <v>#N/A</v>
      </c>
    </row>
    <row r="526" spans="1:4" x14ac:dyDescent="0.4">
      <c r="A526" t="s">
        <v>1051</v>
      </c>
      <c r="B526" t="s">
        <v>1052</v>
      </c>
      <c r="C526">
        <v>0</v>
      </c>
      <c r="D526" t="e">
        <f>VLOOKUP(A526,'MusiteDeep-11'!$A$1:$F$124,6,0)</f>
        <v>#N/A</v>
      </c>
    </row>
    <row r="527" spans="1:4" x14ac:dyDescent="0.4">
      <c r="A527" t="s">
        <v>1053</v>
      </c>
      <c r="B527" t="s">
        <v>1054</v>
      </c>
      <c r="C527">
        <v>0</v>
      </c>
      <c r="D527" t="e">
        <f>VLOOKUP(A527,'MusiteDeep-11'!$A$1:$F$124,6,0)</f>
        <v>#N/A</v>
      </c>
    </row>
    <row r="528" spans="1:4" x14ac:dyDescent="0.4">
      <c r="A528" t="s">
        <v>1055</v>
      </c>
      <c r="B528" t="s">
        <v>1056</v>
      </c>
      <c r="C528">
        <v>0</v>
      </c>
      <c r="D528" t="e">
        <f>VLOOKUP(A528,'MusiteDeep-11'!$A$1:$F$124,6,0)</f>
        <v>#N/A</v>
      </c>
    </row>
    <row r="529" spans="1:4" x14ac:dyDescent="0.4">
      <c r="A529" t="s">
        <v>1057</v>
      </c>
      <c r="B529" t="s">
        <v>1058</v>
      </c>
      <c r="C529">
        <v>0</v>
      </c>
      <c r="D529" t="e">
        <f>VLOOKUP(A529,'MusiteDeep-11'!$A$1:$F$124,6,0)</f>
        <v>#N/A</v>
      </c>
    </row>
    <row r="530" spans="1:4" x14ac:dyDescent="0.4">
      <c r="A530" t="s">
        <v>1059</v>
      </c>
      <c r="B530" t="s">
        <v>1060</v>
      </c>
      <c r="C530">
        <v>0</v>
      </c>
      <c r="D530" t="e">
        <f>VLOOKUP(A530,'MusiteDeep-11'!$A$1:$F$124,6,0)</f>
        <v>#N/A</v>
      </c>
    </row>
    <row r="531" spans="1:4" x14ac:dyDescent="0.4">
      <c r="A531" t="s">
        <v>1061</v>
      </c>
      <c r="B531" t="s">
        <v>1062</v>
      </c>
      <c r="C531">
        <v>0</v>
      </c>
      <c r="D531" t="e">
        <f>VLOOKUP(A531,'MusiteDeep-11'!$A$1:$F$124,6,0)</f>
        <v>#N/A</v>
      </c>
    </row>
    <row r="532" spans="1:4" x14ac:dyDescent="0.4">
      <c r="A532" t="s">
        <v>1063</v>
      </c>
      <c r="B532" t="s">
        <v>1064</v>
      </c>
      <c r="C532">
        <v>0</v>
      </c>
      <c r="D532" t="e">
        <f>VLOOKUP(A532,'MusiteDeep-11'!$A$1:$F$124,6,0)</f>
        <v>#N/A</v>
      </c>
    </row>
    <row r="533" spans="1:4" x14ac:dyDescent="0.4">
      <c r="A533" t="s">
        <v>1065</v>
      </c>
      <c r="B533" t="s">
        <v>1066</v>
      </c>
      <c r="C533">
        <v>0</v>
      </c>
      <c r="D533" t="e">
        <f>VLOOKUP(A533,'MusiteDeep-11'!$A$1:$F$124,6,0)</f>
        <v>#N/A</v>
      </c>
    </row>
    <row r="534" spans="1:4" x14ac:dyDescent="0.4">
      <c r="A534" t="s">
        <v>1067</v>
      </c>
      <c r="B534" t="s">
        <v>1068</v>
      </c>
      <c r="C534">
        <v>0</v>
      </c>
      <c r="D534" t="e">
        <f>VLOOKUP(A534,'MusiteDeep-11'!$A$1:$F$124,6,0)</f>
        <v>#N/A</v>
      </c>
    </row>
    <row r="535" spans="1:4" x14ac:dyDescent="0.4">
      <c r="A535" t="s">
        <v>1069</v>
      </c>
      <c r="B535" t="s">
        <v>1070</v>
      </c>
      <c r="C535">
        <v>0</v>
      </c>
      <c r="D535">
        <f>VLOOKUP(A535,'MusiteDeep-11'!$A$1:$F$124,6,0)</f>
        <v>0</v>
      </c>
    </row>
    <row r="536" spans="1:4" x14ac:dyDescent="0.4">
      <c r="A536" t="s">
        <v>1071</v>
      </c>
      <c r="B536" t="s">
        <v>1072</v>
      </c>
      <c r="C536">
        <v>0</v>
      </c>
      <c r="D536" t="e">
        <f>VLOOKUP(A536,'MusiteDeep-11'!$A$1:$F$124,6,0)</f>
        <v>#N/A</v>
      </c>
    </row>
    <row r="537" spans="1:4" x14ac:dyDescent="0.4">
      <c r="A537" t="s">
        <v>1073</v>
      </c>
      <c r="B537" t="s">
        <v>1074</v>
      </c>
      <c r="C537">
        <v>0</v>
      </c>
      <c r="D537">
        <f>VLOOKUP(A537,'MusiteDeep-11'!$A$1:$F$124,6,0)</f>
        <v>0</v>
      </c>
    </row>
    <row r="538" spans="1:4" x14ac:dyDescent="0.4">
      <c r="A538" t="s">
        <v>1075</v>
      </c>
      <c r="B538" t="s">
        <v>1076</v>
      </c>
      <c r="C538">
        <v>0</v>
      </c>
      <c r="D538">
        <f>VLOOKUP(A538,'MusiteDeep-11'!$A$1:$F$124,6,0)</f>
        <v>0</v>
      </c>
    </row>
    <row r="539" spans="1:4" x14ac:dyDescent="0.4">
      <c r="A539" t="s">
        <v>1077</v>
      </c>
      <c r="B539" t="s">
        <v>1078</v>
      </c>
      <c r="C539">
        <v>0</v>
      </c>
      <c r="D539" t="e">
        <f>VLOOKUP(A539,'MusiteDeep-11'!$A$1:$F$124,6,0)</f>
        <v>#N/A</v>
      </c>
    </row>
    <row r="540" spans="1:4" x14ac:dyDescent="0.4">
      <c r="A540" t="s">
        <v>1079</v>
      </c>
      <c r="B540" t="s">
        <v>1080</v>
      </c>
      <c r="C540">
        <v>0</v>
      </c>
      <c r="D540" t="e">
        <f>VLOOKUP(A540,'MusiteDeep-11'!$A$1:$F$124,6,0)</f>
        <v>#N/A</v>
      </c>
    </row>
    <row r="541" spans="1:4" x14ac:dyDescent="0.4">
      <c r="A541" t="s">
        <v>1081</v>
      </c>
      <c r="B541" t="s">
        <v>1082</v>
      </c>
      <c r="C541">
        <v>0</v>
      </c>
      <c r="D541" t="e">
        <f>VLOOKUP(A541,'MusiteDeep-11'!$A$1:$F$124,6,0)</f>
        <v>#N/A</v>
      </c>
    </row>
    <row r="542" spans="1:4" x14ac:dyDescent="0.4">
      <c r="A542" t="s">
        <v>1083</v>
      </c>
      <c r="B542" t="s">
        <v>1084</v>
      </c>
      <c r="C542">
        <v>0</v>
      </c>
      <c r="D542" t="e">
        <f>VLOOKUP(A542,'MusiteDeep-11'!$A$1:$F$124,6,0)</f>
        <v>#N/A</v>
      </c>
    </row>
    <row r="543" spans="1:4" x14ac:dyDescent="0.4">
      <c r="A543" t="s">
        <v>1085</v>
      </c>
      <c r="B543" t="s">
        <v>1086</v>
      </c>
      <c r="C543">
        <v>0</v>
      </c>
      <c r="D543" t="e">
        <f>VLOOKUP(A543,'MusiteDeep-11'!$A$1:$F$124,6,0)</f>
        <v>#N/A</v>
      </c>
    </row>
    <row r="544" spans="1:4" x14ac:dyDescent="0.4">
      <c r="A544" t="s">
        <v>1087</v>
      </c>
      <c r="B544" t="s">
        <v>1088</v>
      </c>
      <c r="C544">
        <v>0</v>
      </c>
      <c r="D544" t="e">
        <f>VLOOKUP(A544,'MusiteDeep-11'!$A$1:$F$124,6,0)</f>
        <v>#N/A</v>
      </c>
    </row>
    <row r="545" spans="1:4" x14ac:dyDescent="0.4">
      <c r="A545" t="s">
        <v>1089</v>
      </c>
      <c r="B545" t="s">
        <v>1090</v>
      </c>
      <c r="C545">
        <v>0</v>
      </c>
      <c r="D545">
        <f>VLOOKUP(A545,'MusiteDeep-11'!$A$1:$F$124,6,0)</f>
        <v>0</v>
      </c>
    </row>
    <row r="546" spans="1:4" x14ac:dyDescent="0.4">
      <c r="A546" t="s">
        <v>1091</v>
      </c>
      <c r="B546" t="s">
        <v>1092</v>
      </c>
      <c r="C546">
        <v>0</v>
      </c>
      <c r="D546" t="e">
        <f>VLOOKUP(A546,'MusiteDeep-11'!$A$1:$F$124,6,0)</f>
        <v>#N/A</v>
      </c>
    </row>
    <row r="547" spans="1:4" x14ac:dyDescent="0.4">
      <c r="A547" t="s">
        <v>1093</v>
      </c>
      <c r="B547" t="s">
        <v>1094</v>
      </c>
      <c r="C547">
        <v>0</v>
      </c>
      <c r="D547" t="e">
        <f>VLOOKUP(A547,'MusiteDeep-11'!$A$1:$F$124,6,0)</f>
        <v>#N/A</v>
      </c>
    </row>
    <row r="548" spans="1:4" x14ac:dyDescent="0.4">
      <c r="A548" t="s">
        <v>1095</v>
      </c>
      <c r="B548" t="s">
        <v>1096</v>
      </c>
      <c r="C548">
        <v>0</v>
      </c>
      <c r="D548" t="e">
        <f>VLOOKUP(A548,'MusiteDeep-11'!$A$1:$F$124,6,0)</f>
        <v>#N/A</v>
      </c>
    </row>
    <row r="549" spans="1:4" x14ac:dyDescent="0.4">
      <c r="A549" t="s">
        <v>1097</v>
      </c>
      <c r="B549" t="s">
        <v>1098</v>
      </c>
      <c r="C549">
        <v>0</v>
      </c>
      <c r="D549" t="e">
        <f>VLOOKUP(A549,'MusiteDeep-11'!$A$1:$F$124,6,0)</f>
        <v>#N/A</v>
      </c>
    </row>
    <row r="550" spans="1:4" x14ac:dyDescent="0.4">
      <c r="A550" t="s">
        <v>1099</v>
      </c>
      <c r="B550" t="s">
        <v>1100</v>
      </c>
      <c r="C550">
        <v>0</v>
      </c>
      <c r="D550" t="e">
        <f>VLOOKUP(A550,'MusiteDeep-11'!$A$1:$F$124,6,0)</f>
        <v>#N/A</v>
      </c>
    </row>
    <row r="551" spans="1:4" x14ac:dyDescent="0.4">
      <c r="A551" t="s">
        <v>1101</v>
      </c>
      <c r="B551" t="s">
        <v>1102</v>
      </c>
      <c r="C551">
        <v>0</v>
      </c>
      <c r="D551" t="e">
        <f>VLOOKUP(A551,'MusiteDeep-11'!$A$1:$F$124,6,0)</f>
        <v>#N/A</v>
      </c>
    </row>
    <row r="552" spans="1:4" x14ac:dyDescent="0.4">
      <c r="A552" t="s">
        <v>1103</v>
      </c>
      <c r="B552" t="s">
        <v>1104</v>
      </c>
      <c r="C552">
        <v>0</v>
      </c>
      <c r="D552" t="e">
        <f>VLOOKUP(A552,'MusiteDeep-11'!$A$1:$F$124,6,0)</f>
        <v>#N/A</v>
      </c>
    </row>
    <row r="553" spans="1:4" x14ac:dyDescent="0.4">
      <c r="A553" t="s">
        <v>1105</v>
      </c>
      <c r="B553" t="s">
        <v>1106</v>
      </c>
      <c r="C553">
        <v>0</v>
      </c>
      <c r="D553" t="e">
        <f>VLOOKUP(A553,'MusiteDeep-11'!$A$1:$F$124,6,0)</f>
        <v>#N/A</v>
      </c>
    </row>
    <row r="554" spans="1:4" x14ac:dyDescent="0.4">
      <c r="A554" t="s">
        <v>1107</v>
      </c>
      <c r="B554" t="s">
        <v>1108</v>
      </c>
      <c r="C554">
        <v>0</v>
      </c>
      <c r="D554" t="e">
        <f>VLOOKUP(A554,'MusiteDeep-11'!$A$1:$F$124,6,0)</f>
        <v>#N/A</v>
      </c>
    </row>
    <row r="555" spans="1:4" x14ac:dyDescent="0.4">
      <c r="A555" t="s">
        <v>1109</v>
      </c>
      <c r="B555" t="s">
        <v>1110</v>
      </c>
      <c r="C555">
        <v>0</v>
      </c>
      <c r="D555" t="e">
        <f>VLOOKUP(A555,'MusiteDeep-11'!$A$1:$F$124,6,0)</f>
        <v>#N/A</v>
      </c>
    </row>
    <row r="556" spans="1:4" x14ac:dyDescent="0.4">
      <c r="A556" t="s">
        <v>1111</v>
      </c>
      <c r="B556" t="s">
        <v>1112</v>
      </c>
      <c r="C556">
        <v>0</v>
      </c>
      <c r="D556" t="e">
        <f>VLOOKUP(A556,'MusiteDeep-11'!$A$1:$F$124,6,0)</f>
        <v>#N/A</v>
      </c>
    </row>
    <row r="557" spans="1:4" x14ac:dyDescent="0.4">
      <c r="A557" t="s">
        <v>1113</v>
      </c>
      <c r="B557" t="s">
        <v>1114</v>
      </c>
      <c r="C557">
        <v>0</v>
      </c>
      <c r="D557" t="e">
        <f>VLOOKUP(A557,'MusiteDeep-11'!$A$1:$F$124,6,0)</f>
        <v>#N/A</v>
      </c>
    </row>
    <row r="558" spans="1:4" x14ac:dyDescent="0.4">
      <c r="A558" t="s">
        <v>1115</v>
      </c>
      <c r="B558" t="s">
        <v>1116</v>
      </c>
      <c r="C558">
        <v>0</v>
      </c>
      <c r="D558" t="e">
        <f>VLOOKUP(A558,'MusiteDeep-11'!$A$1:$F$124,6,0)</f>
        <v>#N/A</v>
      </c>
    </row>
    <row r="559" spans="1:4" x14ac:dyDescent="0.4">
      <c r="A559" t="s">
        <v>1117</v>
      </c>
      <c r="B559" t="s">
        <v>1118</v>
      </c>
      <c r="C559">
        <v>0</v>
      </c>
      <c r="D559" t="e">
        <f>VLOOKUP(A559,'MusiteDeep-11'!$A$1:$F$124,6,0)</f>
        <v>#N/A</v>
      </c>
    </row>
    <row r="560" spans="1:4" x14ac:dyDescent="0.4">
      <c r="A560" t="s">
        <v>1119</v>
      </c>
      <c r="B560" t="s">
        <v>1120</v>
      </c>
      <c r="C560">
        <v>0</v>
      </c>
      <c r="D560" t="e">
        <f>VLOOKUP(A560,'MusiteDeep-11'!$A$1:$F$124,6,0)</f>
        <v>#N/A</v>
      </c>
    </row>
    <row r="561" spans="1:4" x14ac:dyDescent="0.4">
      <c r="A561" t="s">
        <v>1121</v>
      </c>
      <c r="B561" t="s">
        <v>1122</v>
      </c>
      <c r="C561">
        <v>0</v>
      </c>
      <c r="D561" t="e">
        <f>VLOOKUP(A561,'MusiteDeep-11'!$A$1:$F$124,6,0)</f>
        <v>#N/A</v>
      </c>
    </row>
    <row r="562" spans="1:4" x14ac:dyDescent="0.4">
      <c r="A562" t="s">
        <v>1123</v>
      </c>
      <c r="B562" t="s">
        <v>1124</v>
      </c>
      <c r="C562">
        <v>0</v>
      </c>
      <c r="D562" t="e">
        <f>VLOOKUP(A562,'MusiteDeep-11'!$A$1:$F$124,6,0)</f>
        <v>#N/A</v>
      </c>
    </row>
    <row r="563" spans="1:4" x14ac:dyDescent="0.4">
      <c r="A563" t="s">
        <v>1125</v>
      </c>
      <c r="B563" t="s">
        <v>1126</v>
      </c>
      <c r="C563">
        <v>0</v>
      </c>
      <c r="D563" t="e">
        <f>VLOOKUP(A563,'MusiteDeep-11'!$A$1:$F$124,6,0)</f>
        <v>#N/A</v>
      </c>
    </row>
    <row r="564" spans="1:4" x14ac:dyDescent="0.4">
      <c r="A564" t="s">
        <v>1127</v>
      </c>
      <c r="B564" t="s">
        <v>1128</v>
      </c>
      <c r="C564">
        <v>0</v>
      </c>
      <c r="D564" t="e">
        <f>VLOOKUP(A564,'MusiteDeep-11'!$A$1:$F$124,6,0)</f>
        <v>#N/A</v>
      </c>
    </row>
    <row r="565" spans="1:4" x14ac:dyDescent="0.4">
      <c r="A565" t="s">
        <v>1129</v>
      </c>
      <c r="B565" t="s">
        <v>1130</v>
      </c>
      <c r="C565">
        <v>0</v>
      </c>
      <c r="D565" t="e">
        <f>VLOOKUP(A565,'MusiteDeep-11'!$A$1:$F$124,6,0)</f>
        <v>#N/A</v>
      </c>
    </row>
    <row r="566" spans="1:4" x14ac:dyDescent="0.4">
      <c r="A566" t="s">
        <v>1131</v>
      </c>
      <c r="B566" t="s">
        <v>1132</v>
      </c>
      <c r="C566">
        <v>0</v>
      </c>
      <c r="D566" t="e">
        <f>VLOOKUP(A566,'MusiteDeep-11'!$A$1:$F$124,6,0)</f>
        <v>#N/A</v>
      </c>
    </row>
    <row r="567" spans="1:4" x14ac:dyDescent="0.4">
      <c r="A567" t="s">
        <v>1133</v>
      </c>
      <c r="B567" t="s">
        <v>1134</v>
      </c>
      <c r="C567">
        <v>0</v>
      </c>
      <c r="D567" t="e">
        <f>VLOOKUP(A567,'MusiteDeep-11'!$A$1:$F$124,6,0)</f>
        <v>#N/A</v>
      </c>
    </row>
    <row r="568" spans="1:4" x14ac:dyDescent="0.4">
      <c r="A568" t="s">
        <v>1135</v>
      </c>
      <c r="B568" t="s">
        <v>1136</v>
      </c>
      <c r="C568">
        <v>0</v>
      </c>
      <c r="D568" t="e">
        <f>VLOOKUP(A568,'MusiteDeep-11'!$A$1:$F$124,6,0)</f>
        <v>#N/A</v>
      </c>
    </row>
    <row r="569" spans="1:4" x14ac:dyDescent="0.4">
      <c r="A569" t="s">
        <v>1137</v>
      </c>
      <c r="B569" t="s">
        <v>1138</v>
      </c>
      <c r="C569">
        <v>0</v>
      </c>
      <c r="D569">
        <f>VLOOKUP(A569,'MusiteDeep-11'!$A$1:$F$124,6,0)</f>
        <v>0</v>
      </c>
    </row>
    <row r="570" spans="1:4" x14ac:dyDescent="0.4">
      <c r="A570" t="s">
        <v>1139</v>
      </c>
      <c r="B570" t="s">
        <v>1140</v>
      </c>
      <c r="C570">
        <v>0</v>
      </c>
      <c r="D570" t="e">
        <f>VLOOKUP(A570,'MusiteDeep-11'!$A$1:$F$124,6,0)</f>
        <v>#N/A</v>
      </c>
    </row>
    <row r="571" spans="1:4" x14ac:dyDescent="0.4">
      <c r="A571" t="s">
        <v>1141</v>
      </c>
      <c r="B571" t="s">
        <v>1142</v>
      </c>
      <c r="C571">
        <v>0</v>
      </c>
      <c r="D571">
        <f>VLOOKUP(A571,'MusiteDeep-11'!$A$1:$F$124,6,0)</f>
        <v>0</v>
      </c>
    </row>
    <row r="572" spans="1:4" x14ac:dyDescent="0.4">
      <c r="A572" t="s">
        <v>1143</v>
      </c>
      <c r="B572" t="s">
        <v>1144</v>
      </c>
      <c r="C572">
        <v>0</v>
      </c>
      <c r="D572" t="e">
        <f>VLOOKUP(A572,'MusiteDeep-11'!$A$1:$F$124,6,0)</f>
        <v>#N/A</v>
      </c>
    </row>
    <row r="573" spans="1:4" x14ac:dyDescent="0.4">
      <c r="A573" t="s">
        <v>1145</v>
      </c>
      <c r="B573" t="s">
        <v>1146</v>
      </c>
      <c r="C573">
        <v>0</v>
      </c>
      <c r="D573">
        <f>VLOOKUP(A573,'MusiteDeep-11'!$A$1:$F$124,6,0)</f>
        <v>0</v>
      </c>
    </row>
    <row r="574" spans="1:4" x14ac:dyDescent="0.4">
      <c r="A574" t="s">
        <v>1147</v>
      </c>
      <c r="B574" t="s">
        <v>1148</v>
      </c>
      <c r="C574">
        <v>0</v>
      </c>
      <c r="D574">
        <f>VLOOKUP(A574,'MusiteDeep-11'!$A$1:$F$124,6,0)</f>
        <v>0</v>
      </c>
    </row>
    <row r="575" spans="1:4" x14ac:dyDescent="0.4">
      <c r="A575" t="s">
        <v>1149</v>
      </c>
      <c r="B575" t="s">
        <v>1150</v>
      </c>
      <c r="C575">
        <v>0</v>
      </c>
      <c r="D575" t="e">
        <f>VLOOKUP(A575,'MusiteDeep-11'!$A$1:$F$124,6,0)</f>
        <v>#N/A</v>
      </c>
    </row>
    <row r="576" spans="1:4" x14ac:dyDescent="0.4">
      <c r="A576" t="s">
        <v>1151</v>
      </c>
      <c r="B576" t="s">
        <v>1152</v>
      </c>
      <c r="C576">
        <v>0</v>
      </c>
      <c r="D576" t="e">
        <f>VLOOKUP(A576,'MusiteDeep-11'!$A$1:$F$124,6,0)</f>
        <v>#N/A</v>
      </c>
    </row>
    <row r="577" spans="1:4" x14ac:dyDescent="0.4">
      <c r="A577" t="s">
        <v>1153</v>
      </c>
      <c r="B577" t="s">
        <v>1154</v>
      </c>
      <c r="C577">
        <v>0</v>
      </c>
      <c r="D577" t="e">
        <f>VLOOKUP(A577,'MusiteDeep-11'!$A$1:$F$124,6,0)</f>
        <v>#N/A</v>
      </c>
    </row>
    <row r="578" spans="1:4" x14ac:dyDescent="0.4">
      <c r="A578" t="s">
        <v>1155</v>
      </c>
      <c r="B578" t="s">
        <v>1156</v>
      </c>
      <c r="C578">
        <v>0</v>
      </c>
      <c r="D578" t="e">
        <f>VLOOKUP(A578,'MusiteDeep-11'!$A$1:$F$124,6,0)</f>
        <v>#N/A</v>
      </c>
    </row>
    <row r="579" spans="1:4" x14ac:dyDescent="0.4">
      <c r="A579" t="s">
        <v>1157</v>
      </c>
      <c r="B579" t="s">
        <v>1158</v>
      </c>
      <c r="C579">
        <v>0</v>
      </c>
      <c r="D579" t="e">
        <f>VLOOKUP(A579,'MusiteDeep-11'!$A$1:$F$124,6,0)</f>
        <v>#N/A</v>
      </c>
    </row>
    <row r="580" spans="1:4" x14ac:dyDescent="0.4">
      <c r="A580" t="s">
        <v>1159</v>
      </c>
      <c r="B580" t="s">
        <v>1160</v>
      </c>
      <c r="C580">
        <v>0</v>
      </c>
      <c r="D580">
        <f>VLOOKUP(A580,'MusiteDeep-11'!$A$1:$F$124,6,0)</f>
        <v>0</v>
      </c>
    </row>
    <row r="581" spans="1:4" x14ac:dyDescent="0.4">
      <c r="A581" t="s">
        <v>1161</v>
      </c>
      <c r="B581" t="s">
        <v>1162</v>
      </c>
      <c r="C581">
        <v>0</v>
      </c>
      <c r="D581" t="e">
        <f>VLOOKUP(A581,'MusiteDeep-11'!$A$1:$F$124,6,0)</f>
        <v>#N/A</v>
      </c>
    </row>
    <row r="582" spans="1:4" x14ac:dyDescent="0.4">
      <c r="A582" t="s">
        <v>1163</v>
      </c>
      <c r="B582" t="s">
        <v>1164</v>
      </c>
      <c r="C582">
        <v>0</v>
      </c>
      <c r="D582" t="e">
        <f>VLOOKUP(A582,'MusiteDeep-11'!$A$1:$F$124,6,0)</f>
        <v>#N/A</v>
      </c>
    </row>
    <row r="583" spans="1:4" x14ac:dyDescent="0.4">
      <c r="A583" t="s">
        <v>1165</v>
      </c>
      <c r="B583" t="s">
        <v>1166</v>
      </c>
      <c r="C583">
        <v>0</v>
      </c>
      <c r="D583" t="e">
        <f>VLOOKUP(A583,'MusiteDeep-11'!$A$1:$F$124,6,0)</f>
        <v>#N/A</v>
      </c>
    </row>
    <row r="584" spans="1:4" x14ac:dyDescent="0.4">
      <c r="A584" t="s">
        <v>1167</v>
      </c>
      <c r="B584" t="s">
        <v>1168</v>
      </c>
      <c r="C584">
        <v>0</v>
      </c>
      <c r="D584" t="e">
        <f>VLOOKUP(A584,'MusiteDeep-11'!$A$1:$F$124,6,0)</f>
        <v>#N/A</v>
      </c>
    </row>
    <row r="585" spans="1:4" x14ac:dyDescent="0.4">
      <c r="A585" t="s">
        <v>1169</v>
      </c>
      <c r="B585" t="s">
        <v>1170</v>
      </c>
      <c r="C585">
        <v>0</v>
      </c>
      <c r="D585" t="e">
        <f>VLOOKUP(A585,'MusiteDeep-11'!$A$1:$F$124,6,0)</f>
        <v>#N/A</v>
      </c>
    </row>
    <row r="586" spans="1:4" x14ac:dyDescent="0.4">
      <c r="A586" t="s">
        <v>1171</v>
      </c>
      <c r="B586" t="s">
        <v>1172</v>
      </c>
      <c r="C586">
        <v>0</v>
      </c>
      <c r="D586" t="e">
        <f>VLOOKUP(A586,'MusiteDeep-11'!$A$1:$F$124,6,0)</f>
        <v>#N/A</v>
      </c>
    </row>
    <row r="587" spans="1:4" x14ac:dyDescent="0.4">
      <c r="A587" t="s">
        <v>1173</v>
      </c>
      <c r="B587" t="s">
        <v>1174</v>
      </c>
      <c r="C587">
        <v>0</v>
      </c>
      <c r="D587" t="e">
        <f>VLOOKUP(A587,'MusiteDeep-11'!$A$1:$F$124,6,0)</f>
        <v>#N/A</v>
      </c>
    </row>
    <row r="588" spans="1:4" x14ac:dyDescent="0.4">
      <c r="A588" t="s">
        <v>1175</v>
      </c>
      <c r="B588" t="s">
        <v>1176</v>
      </c>
      <c r="C588">
        <v>0</v>
      </c>
      <c r="D588" t="e">
        <f>VLOOKUP(A588,'MusiteDeep-11'!$A$1:$F$124,6,0)</f>
        <v>#N/A</v>
      </c>
    </row>
    <row r="589" spans="1:4" x14ac:dyDescent="0.4">
      <c r="A589" t="s">
        <v>1177</v>
      </c>
      <c r="B589" t="s">
        <v>1178</v>
      </c>
      <c r="C589">
        <v>0</v>
      </c>
      <c r="D589" t="e">
        <f>VLOOKUP(A589,'MusiteDeep-11'!$A$1:$F$124,6,0)</f>
        <v>#N/A</v>
      </c>
    </row>
    <row r="590" spans="1:4" x14ac:dyDescent="0.4">
      <c r="A590" t="s">
        <v>1179</v>
      </c>
      <c r="B590" t="s">
        <v>1180</v>
      </c>
      <c r="C590">
        <v>0</v>
      </c>
      <c r="D590" t="e">
        <f>VLOOKUP(A590,'MusiteDeep-11'!$A$1:$F$124,6,0)</f>
        <v>#N/A</v>
      </c>
    </row>
    <row r="591" spans="1:4" x14ac:dyDescent="0.4">
      <c r="A591" t="s">
        <v>1181</v>
      </c>
      <c r="B591" t="s">
        <v>1182</v>
      </c>
      <c r="C591">
        <v>0</v>
      </c>
      <c r="D591" t="e">
        <f>VLOOKUP(A591,'MusiteDeep-11'!$A$1:$F$124,6,0)</f>
        <v>#N/A</v>
      </c>
    </row>
    <row r="592" spans="1:4" x14ac:dyDescent="0.4">
      <c r="A592" t="s">
        <v>1183</v>
      </c>
      <c r="B592" t="s">
        <v>1184</v>
      </c>
      <c r="C592">
        <v>0</v>
      </c>
      <c r="D592" t="e">
        <f>VLOOKUP(A592,'MusiteDeep-11'!$A$1:$F$124,6,0)</f>
        <v>#N/A</v>
      </c>
    </row>
    <row r="593" spans="1:4" x14ac:dyDescent="0.4">
      <c r="A593" t="s">
        <v>1185</v>
      </c>
      <c r="B593" t="s">
        <v>1186</v>
      </c>
      <c r="C593">
        <v>0</v>
      </c>
      <c r="D593">
        <f>VLOOKUP(A593,'MusiteDeep-11'!$A$1:$F$124,6,0)</f>
        <v>0</v>
      </c>
    </row>
    <row r="594" spans="1:4" x14ac:dyDescent="0.4">
      <c r="A594" t="s">
        <v>1187</v>
      </c>
      <c r="B594" t="s">
        <v>1188</v>
      </c>
      <c r="C594">
        <v>0</v>
      </c>
      <c r="D594" t="e">
        <f>VLOOKUP(A594,'MusiteDeep-11'!$A$1:$F$124,6,0)</f>
        <v>#N/A</v>
      </c>
    </row>
    <row r="595" spans="1:4" x14ac:dyDescent="0.4">
      <c r="A595" t="s">
        <v>1189</v>
      </c>
      <c r="B595" t="s">
        <v>1190</v>
      </c>
      <c r="C595">
        <v>0</v>
      </c>
      <c r="D595" t="e">
        <f>VLOOKUP(A595,'MusiteDeep-11'!$A$1:$F$124,6,0)</f>
        <v>#N/A</v>
      </c>
    </row>
    <row r="596" spans="1:4" x14ac:dyDescent="0.4">
      <c r="A596" t="s">
        <v>1191</v>
      </c>
      <c r="B596" t="s">
        <v>1192</v>
      </c>
      <c r="C596">
        <v>0</v>
      </c>
      <c r="D596" t="e">
        <f>VLOOKUP(A596,'MusiteDeep-11'!$A$1:$F$124,6,0)</f>
        <v>#N/A</v>
      </c>
    </row>
    <row r="597" spans="1:4" x14ac:dyDescent="0.4">
      <c r="A597" t="s">
        <v>1193</v>
      </c>
      <c r="B597" t="s">
        <v>1194</v>
      </c>
      <c r="C597">
        <v>0</v>
      </c>
      <c r="D597" t="e">
        <f>VLOOKUP(A597,'MusiteDeep-11'!$A$1:$F$124,6,0)</f>
        <v>#N/A</v>
      </c>
    </row>
    <row r="598" spans="1:4" x14ac:dyDescent="0.4">
      <c r="A598" t="s">
        <v>1195</v>
      </c>
      <c r="B598" t="s">
        <v>1196</v>
      </c>
      <c r="C598">
        <v>0</v>
      </c>
      <c r="D598" t="e">
        <f>VLOOKUP(A598,'MusiteDeep-11'!$A$1:$F$124,6,0)</f>
        <v>#N/A</v>
      </c>
    </row>
    <row r="599" spans="1:4" x14ac:dyDescent="0.4">
      <c r="A599" t="s">
        <v>1197</v>
      </c>
      <c r="B599" t="s">
        <v>1198</v>
      </c>
      <c r="C599">
        <v>0</v>
      </c>
      <c r="D599" t="e">
        <f>VLOOKUP(A599,'MusiteDeep-11'!$A$1:$F$124,6,0)</f>
        <v>#N/A</v>
      </c>
    </row>
    <row r="600" spans="1:4" x14ac:dyDescent="0.4">
      <c r="A600" t="s">
        <v>1199</v>
      </c>
      <c r="B600" t="s">
        <v>1200</v>
      </c>
      <c r="C600">
        <v>0</v>
      </c>
      <c r="D600" t="e">
        <f>VLOOKUP(A600,'MusiteDeep-11'!$A$1:$F$124,6,0)</f>
        <v>#N/A</v>
      </c>
    </row>
    <row r="601" spans="1:4" x14ac:dyDescent="0.4">
      <c r="A601" t="s">
        <v>1201</v>
      </c>
      <c r="B601" t="s">
        <v>1202</v>
      </c>
      <c r="C601">
        <v>0</v>
      </c>
      <c r="D601" t="e">
        <f>VLOOKUP(A601,'MusiteDeep-11'!$A$1:$F$124,6,0)</f>
        <v>#N/A</v>
      </c>
    </row>
    <row r="602" spans="1:4" x14ac:dyDescent="0.4">
      <c r="A602" t="s">
        <v>1203</v>
      </c>
      <c r="B602" t="s">
        <v>1204</v>
      </c>
      <c r="C602">
        <v>0</v>
      </c>
      <c r="D602">
        <f>VLOOKUP(A602,'MusiteDeep-11'!$A$1:$F$124,6,0)</f>
        <v>0</v>
      </c>
    </row>
    <row r="603" spans="1:4" x14ac:dyDescent="0.4">
      <c r="A603" t="s">
        <v>1205</v>
      </c>
      <c r="B603" t="s">
        <v>1206</v>
      </c>
      <c r="C603">
        <v>0</v>
      </c>
      <c r="D603" t="e">
        <f>VLOOKUP(A603,'MusiteDeep-11'!$A$1:$F$124,6,0)</f>
        <v>#N/A</v>
      </c>
    </row>
    <row r="604" spans="1:4" x14ac:dyDescent="0.4">
      <c r="A604" t="s">
        <v>1207</v>
      </c>
      <c r="B604" t="s">
        <v>1208</v>
      </c>
      <c r="C604">
        <v>0</v>
      </c>
      <c r="D604" t="e">
        <f>VLOOKUP(A604,'MusiteDeep-11'!$A$1:$F$124,6,0)</f>
        <v>#N/A</v>
      </c>
    </row>
    <row r="605" spans="1:4" x14ac:dyDescent="0.4">
      <c r="A605" t="s">
        <v>1209</v>
      </c>
      <c r="B605" t="s">
        <v>1210</v>
      </c>
      <c r="C605">
        <v>0</v>
      </c>
      <c r="D605" t="e">
        <f>VLOOKUP(A605,'MusiteDeep-11'!$A$1:$F$124,6,0)</f>
        <v>#N/A</v>
      </c>
    </row>
    <row r="606" spans="1:4" x14ac:dyDescent="0.4">
      <c r="A606" t="s">
        <v>1211</v>
      </c>
      <c r="B606" t="s">
        <v>1212</v>
      </c>
      <c r="C606">
        <v>0</v>
      </c>
      <c r="D606" t="e">
        <f>VLOOKUP(A606,'MusiteDeep-11'!$A$1:$F$124,6,0)</f>
        <v>#N/A</v>
      </c>
    </row>
    <row r="607" spans="1:4" x14ac:dyDescent="0.4">
      <c r="A607" t="s">
        <v>1213</v>
      </c>
      <c r="B607" t="s">
        <v>1214</v>
      </c>
      <c r="C607">
        <v>0</v>
      </c>
      <c r="D607">
        <f>VLOOKUP(A607,'MusiteDeep-11'!$A$1:$F$124,6,0)</f>
        <v>0</v>
      </c>
    </row>
    <row r="608" spans="1:4" x14ac:dyDescent="0.4">
      <c r="A608" t="s">
        <v>1215</v>
      </c>
      <c r="B608" t="s">
        <v>1216</v>
      </c>
      <c r="C608">
        <v>0</v>
      </c>
      <c r="D608" t="e">
        <f>VLOOKUP(A608,'MusiteDeep-11'!$A$1:$F$124,6,0)</f>
        <v>#N/A</v>
      </c>
    </row>
    <row r="609" spans="1:4" x14ac:dyDescent="0.4">
      <c r="A609" t="s">
        <v>1217</v>
      </c>
      <c r="B609" t="s">
        <v>1218</v>
      </c>
      <c r="C609">
        <v>0</v>
      </c>
      <c r="D609" t="e">
        <f>VLOOKUP(A609,'MusiteDeep-11'!$A$1:$F$124,6,0)</f>
        <v>#N/A</v>
      </c>
    </row>
    <row r="610" spans="1:4" x14ac:dyDescent="0.4">
      <c r="A610" t="s">
        <v>1219</v>
      </c>
      <c r="B610" t="s">
        <v>1220</v>
      </c>
      <c r="C610">
        <v>0</v>
      </c>
      <c r="D610" t="e">
        <f>VLOOKUP(A610,'MusiteDeep-11'!$A$1:$F$124,6,0)</f>
        <v>#N/A</v>
      </c>
    </row>
    <row r="611" spans="1:4" x14ac:dyDescent="0.4">
      <c r="A611" t="s">
        <v>1221</v>
      </c>
      <c r="B611" t="s">
        <v>1222</v>
      </c>
      <c r="C611">
        <v>0</v>
      </c>
      <c r="D611" t="e">
        <f>VLOOKUP(A611,'MusiteDeep-11'!$A$1:$F$124,6,0)</f>
        <v>#N/A</v>
      </c>
    </row>
    <row r="612" spans="1:4" x14ac:dyDescent="0.4">
      <c r="A612" t="s">
        <v>1223</v>
      </c>
      <c r="B612" t="s">
        <v>1224</v>
      </c>
      <c r="C612">
        <v>0</v>
      </c>
      <c r="D612" t="e">
        <f>VLOOKUP(A612,'MusiteDeep-11'!$A$1:$F$124,6,0)</f>
        <v>#N/A</v>
      </c>
    </row>
    <row r="613" spans="1:4" x14ac:dyDescent="0.4">
      <c r="A613" t="s">
        <v>1225</v>
      </c>
      <c r="B613" t="s">
        <v>1226</v>
      </c>
      <c r="C613">
        <v>0</v>
      </c>
      <c r="D613" t="e">
        <f>VLOOKUP(A613,'MusiteDeep-11'!$A$1:$F$124,6,0)</f>
        <v>#N/A</v>
      </c>
    </row>
    <row r="614" spans="1:4" x14ac:dyDescent="0.4">
      <c r="A614" t="s">
        <v>1227</v>
      </c>
      <c r="B614" t="s">
        <v>1228</v>
      </c>
      <c r="C614">
        <v>0</v>
      </c>
      <c r="D614" t="e">
        <f>VLOOKUP(A614,'MusiteDeep-11'!$A$1:$F$124,6,0)</f>
        <v>#N/A</v>
      </c>
    </row>
    <row r="615" spans="1:4" x14ac:dyDescent="0.4">
      <c r="A615" t="s">
        <v>1229</v>
      </c>
      <c r="B615" t="s">
        <v>1230</v>
      </c>
      <c r="C615">
        <v>0</v>
      </c>
      <c r="D615" t="e">
        <f>VLOOKUP(A615,'MusiteDeep-11'!$A$1:$F$124,6,0)</f>
        <v>#N/A</v>
      </c>
    </row>
    <row r="616" spans="1:4" x14ac:dyDescent="0.4">
      <c r="A616" t="s">
        <v>1231</v>
      </c>
      <c r="B616" t="s">
        <v>1232</v>
      </c>
      <c r="C616">
        <v>0</v>
      </c>
      <c r="D616">
        <f>VLOOKUP(A616,'MusiteDeep-11'!$A$1:$F$124,6,0)</f>
        <v>0</v>
      </c>
    </row>
    <row r="617" spans="1:4" x14ac:dyDescent="0.4">
      <c r="A617" t="s">
        <v>1233</v>
      </c>
      <c r="B617" t="s">
        <v>1234</v>
      </c>
      <c r="C617">
        <v>0</v>
      </c>
      <c r="D617">
        <f>VLOOKUP(A617,'MusiteDeep-11'!$A$1:$F$124,6,0)</f>
        <v>0</v>
      </c>
    </row>
    <row r="618" spans="1:4" x14ac:dyDescent="0.4">
      <c r="A618" t="s">
        <v>1235</v>
      </c>
      <c r="B618" t="s">
        <v>1236</v>
      </c>
      <c r="C618">
        <v>0</v>
      </c>
      <c r="D618">
        <f>VLOOKUP(A618,'MusiteDeep-11'!$A$1:$F$124,6,0)</f>
        <v>0</v>
      </c>
    </row>
    <row r="619" spans="1:4" x14ac:dyDescent="0.4">
      <c r="A619" t="s">
        <v>1237</v>
      </c>
      <c r="B619" t="s">
        <v>1238</v>
      </c>
      <c r="C619">
        <v>0</v>
      </c>
      <c r="D619" t="e">
        <f>VLOOKUP(A619,'MusiteDeep-11'!$A$1:$F$124,6,0)</f>
        <v>#N/A</v>
      </c>
    </row>
    <row r="620" spans="1:4" x14ac:dyDescent="0.4">
      <c r="A620" t="s">
        <v>1239</v>
      </c>
      <c r="B620" t="s">
        <v>1240</v>
      </c>
      <c r="C620">
        <v>0</v>
      </c>
      <c r="D620" t="e">
        <f>VLOOKUP(A620,'MusiteDeep-11'!$A$1:$F$124,6,0)</f>
        <v>#N/A</v>
      </c>
    </row>
    <row r="621" spans="1:4" x14ac:dyDescent="0.4">
      <c r="A621" t="s">
        <v>1241</v>
      </c>
      <c r="B621" t="s">
        <v>1242</v>
      </c>
      <c r="C621">
        <v>0</v>
      </c>
      <c r="D621">
        <f>VLOOKUP(A621,'MusiteDeep-11'!$A$1:$F$124,6,0)</f>
        <v>0</v>
      </c>
    </row>
    <row r="622" spans="1:4" x14ac:dyDescent="0.4">
      <c r="A622" t="s">
        <v>1243</v>
      </c>
      <c r="B622" t="s">
        <v>1244</v>
      </c>
      <c r="C622">
        <v>0</v>
      </c>
      <c r="D622" t="e">
        <f>VLOOKUP(A622,'MusiteDeep-11'!$A$1:$F$124,6,0)</f>
        <v>#N/A</v>
      </c>
    </row>
    <row r="623" spans="1:4" x14ac:dyDescent="0.4">
      <c r="A623" t="s">
        <v>1245</v>
      </c>
      <c r="B623" t="s">
        <v>1246</v>
      </c>
      <c r="C623">
        <v>0</v>
      </c>
      <c r="D623" t="e">
        <f>VLOOKUP(A623,'MusiteDeep-11'!$A$1:$F$124,6,0)</f>
        <v>#N/A</v>
      </c>
    </row>
    <row r="624" spans="1:4" x14ac:dyDescent="0.4">
      <c r="A624" t="s">
        <v>1247</v>
      </c>
      <c r="B624" t="s">
        <v>1248</v>
      </c>
      <c r="C624">
        <v>0</v>
      </c>
      <c r="D624" t="e">
        <f>VLOOKUP(A624,'MusiteDeep-11'!$A$1:$F$124,6,0)</f>
        <v>#N/A</v>
      </c>
    </row>
    <row r="625" spans="1:4" x14ac:dyDescent="0.4">
      <c r="A625" t="s">
        <v>1249</v>
      </c>
      <c r="B625" t="s">
        <v>1250</v>
      </c>
      <c r="C625">
        <v>0</v>
      </c>
      <c r="D625" t="e">
        <f>VLOOKUP(A625,'MusiteDeep-11'!$A$1:$F$124,6,0)</f>
        <v>#N/A</v>
      </c>
    </row>
    <row r="626" spans="1:4" x14ac:dyDescent="0.4">
      <c r="A626" t="s">
        <v>1251</v>
      </c>
      <c r="B626" t="s">
        <v>1252</v>
      </c>
      <c r="C626">
        <v>0</v>
      </c>
      <c r="D626" t="e">
        <f>VLOOKUP(A626,'MusiteDeep-11'!$A$1:$F$124,6,0)</f>
        <v>#N/A</v>
      </c>
    </row>
    <row r="627" spans="1:4" x14ac:dyDescent="0.4">
      <c r="A627" t="s">
        <v>1253</v>
      </c>
      <c r="B627" t="s">
        <v>1254</v>
      </c>
      <c r="C627">
        <v>0</v>
      </c>
      <c r="D627">
        <f>VLOOKUP(A627,'MusiteDeep-11'!$A$1:$F$124,6,0)</f>
        <v>0</v>
      </c>
    </row>
    <row r="628" spans="1:4" x14ac:dyDescent="0.4">
      <c r="A628" t="s">
        <v>1255</v>
      </c>
      <c r="B628" t="s">
        <v>1256</v>
      </c>
      <c r="C628">
        <v>0</v>
      </c>
      <c r="D628" t="e">
        <f>VLOOKUP(A628,'MusiteDeep-11'!$A$1:$F$124,6,0)</f>
        <v>#N/A</v>
      </c>
    </row>
    <row r="629" spans="1:4" x14ac:dyDescent="0.4">
      <c r="A629" t="s">
        <v>1257</v>
      </c>
      <c r="B629" t="s">
        <v>1258</v>
      </c>
      <c r="C629">
        <v>0</v>
      </c>
      <c r="D629" t="e">
        <f>VLOOKUP(A629,'MusiteDeep-11'!$A$1:$F$124,6,0)</f>
        <v>#N/A</v>
      </c>
    </row>
    <row r="630" spans="1:4" x14ac:dyDescent="0.4">
      <c r="A630" t="s">
        <v>1259</v>
      </c>
      <c r="B630" t="s">
        <v>1260</v>
      </c>
      <c r="C630">
        <v>0</v>
      </c>
      <c r="D630">
        <f>VLOOKUP(A630,'MusiteDeep-11'!$A$1:$F$124,6,0)</f>
        <v>0</v>
      </c>
    </row>
    <row r="631" spans="1:4" x14ac:dyDescent="0.4">
      <c r="A631" t="s">
        <v>1261</v>
      </c>
      <c r="B631" t="s">
        <v>1262</v>
      </c>
      <c r="C631">
        <v>0</v>
      </c>
      <c r="D631" t="e">
        <f>VLOOKUP(A631,'MusiteDeep-11'!$A$1:$F$124,6,0)</f>
        <v>#N/A</v>
      </c>
    </row>
    <row r="632" spans="1:4" x14ac:dyDescent="0.4">
      <c r="A632" t="s">
        <v>1263</v>
      </c>
      <c r="B632" t="s">
        <v>1264</v>
      </c>
      <c r="C632">
        <v>0</v>
      </c>
      <c r="D632" t="e">
        <f>VLOOKUP(A632,'MusiteDeep-11'!$A$1:$F$124,6,0)</f>
        <v>#N/A</v>
      </c>
    </row>
    <row r="633" spans="1:4" x14ac:dyDescent="0.4">
      <c r="A633" t="s">
        <v>1265</v>
      </c>
      <c r="B633" t="s">
        <v>1266</v>
      </c>
      <c r="C633">
        <v>0</v>
      </c>
      <c r="D633" t="e">
        <f>VLOOKUP(A633,'MusiteDeep-11'!$A$1:$F$124,6,0)</f>
        <v>#N/A</v>
      </c>
    </row>
    <row r="634" spans="1:4" x14ac:dyDescent="0.4">
      <c r="A634" t="s">
        <v>1267</v>
      </c>
      <c r="B634" t="s">
        <v>1268</v>
      </c>
      <c r="C634">
        <v>0</v>
      </c>
      <c r="D634" t="e">
        <f>VLOOKUP(A634,'MusiteDeep-11'!$A$1:$F$124,6,0)</f>
        <v>#N/A</v>
      </c>
    </row>
    <row r="635" spans="1:4" x14ac:dyDescent="0.4">
      <c r="A635" t="s">
        <v>1269</v>
      </c>
      <c r="B635" t="s">
        <v>1270</v>
      </c>
      <c r="C635">
        <v>0</v>
      </c>
      <c r="D635" t="e">
        <f>VLOOKUP(A635,'MusiteDeep-11'!$A$1:$F$124,6,0)</f>
        <v>#N/A</v>
      </c>
    </row>
    <row r="636" spans="1:4" x14ac:dyDescent="0.4">
      <c r="A636" t="s">
        <v>1271</v>
      </c>
      <c r="B636" t="s">
        <v>1272</v>
      </c>
      <c r="C636">
        <v>0</v>
      </c>
      <c r="D636" t="e">
        <f>VLOOKUP(A636,'MusiteDeep-11'!$A$1:$F$124,6,0)</f>
        <v>#N/A</v>
      </c>
    </row>
    <row r="637" spans="1:4" x14ac:dyDescent="0.4">
      <c r="A637" t="s">
        <v>1273</v>
      </c>
      <c r="B637" t="s">
        <v>1274</v>
      </c>
      <c r="C637">
        <v>0</v>
      </c>
      <c r="D637" t="e">
        <f>VLOOKUP(A637,'MusiteDeep-11'!$A$1:$F$124,6,0)</f>
        <v>#N/A</v>
      </c>
    </row>
    <row r="638" spans="1:4" x14ac:dyDescent="0.4">
      <c r="A638" t="s">
        <v>1275</v>
      </c>
      <c r="B638" t="s">
        <v>1276</v>
      </c>
      <c r="C638">
        <v>0</v>
      </c>
      <c r="D638" t="e">
        <f>VLOOKUP(A638,'MusiteDeep-11'!$A$1:$F$124,6,0)</f>
        <v>#N/A</v>
      </c>
    </row>
    <row r="639" spans="1:4" x14ac:dyDescent="0.4">
      <c r="A639" t="s">
        <v>1277</v>
      </c>
      <c r="B639" t="s">
        <v>1278</v>
      </c>
      <c r="C639">
        <v>0</v>
      </c>
      <c r="D639">
        <f>VLOOKUP(A639,'MusiteDeep-11'!$A$1:$F$124,6,0)</f>
        <v>0</v>
      </c>
    </row>
    <row r="640" spans="1:4" x14ac:dyDescent="0.4">
      <c r="A640" t="s">
        <v>1279</v>
      </c>
      <c r="B640" t="s">
        <v>1280</v>
      </c>
      <c r="C640">
        <v>0</v>
      </c>
      <c r="D640" t="e">
        <f>VLOOKUP(A640,'MusiteDeep-11'!$A$1:$F$124,6,0)</f>
        <v>#N/A</v>
      </c>
    </row>
    <row r="641" spans="1:4" x14ac:dyDescent="0.4">
      <c r="A641" t="s">
        <v>1281</v>
      </c>
      <c r="B641" t="s">
        <v>1282</v>
      </c>
      <c r="C641">
        <v>0</v>
      </c>
      <c r="D641" t="e">
        <f>VLOOKUP(A641,'MusiteDeep-11'!$A$1:$F$124,6,0)</f>
        <v>#N/A</v>
      </c>
    </row>
    <row r="642" spans="1:4" x14ac:dyDescent="0.4">
      <c r="A642" t="s">
        <v>1283</v>
      </c>
      <c r="B642" t="s">
        <v>1284</v>
      </c>
      <c r="C642">
        <v>0</v>
      </c>
      <c r="D642" t="e">
        <f>VLOOKUP(A642,'MusiteDeep-11'!$A$1:$F$124,6,0)</f>
        <v>#N/A</v>
      </c>
    </row>
    <row r="643" spans="1:4" x14ac:dyDescent="0.4">
      <c r="A643" t="s">
        <v>1285</v>
      </c>
      <c r="B643" t="s">
        <v>1286</v>
      </c>
      <c r="C643">
        <v>0</v>
      </c>
      <c r="D643" t="e">
        <f>VLOOKUP(A643,'MusiteDeep-11'!$A$1:$F$124,6,0)</f>
        <v>#N/A</v>
      </c>
    </row>
    <row r="644" spans="1:4" x14ac:dyDescent="0.4">
      <c r="A644" t="s">
        <v>1287</v>
      </c>
      <c r="B644" t="s">
        <v>1288</v>
      </c>
      <c r="C644">
        <v>0</v>
      </c>
      <c r="D644" t="e">
        <f>VLOOKUP(A644,'MusiteDeep-11'!$A$1:$F$124,6,0)</f>
        <v>#N/A</v>
      </c>
    </row>
    <row r="645" spans="1:4" x14ac:dyDescent="0.4">
      <c r="A645" t="s">
        <v>1289</v>
      </c>
      <c r="B645" t="s">
        <v>1290</v>
      </c>
      <c r="C645">
        <v>0</v>
      </c>
      <c r="D645">
        <f>VLOOKUP(A645,'MusiteDeep-11'!$A$1:$F$124,6,0)</f>
        <v>0</v>
      </c>
    </row>
    <row r="646" spans="1:4" x14ac:dyDescent="0.4">
      <c r="A646" t="s">
        <v>1291</v>
      </c>
      <c r="B646" t="s">
        <v>1292</v>
      </c>
      <c r="C646">
        <v>0</v>
      </c>
      <c r="D646" t="e">
        <f>VLOOKUP(A646,'MusiteDeep-11'!$A$1:$F$124,6,0)</f>
        <v>#N/A</v>
      </c>
    </row>
    <row r="647" spans="1:4" x14ac:dyDescent="0.4">
      <c r="A647" t="s">
        <v>1293</v>
      </c>
      <c r="B647" t="s">
        <v>1294</v>
      </c>
      <c r="C647">
        <v>0</v>
      </c>
      <c r="D647" t="e">
        <f>VLOOKUP(A647,'MusiteDeep-11'!$A$1:$F$124,6,0)</f>
        <v>#N/A</v>
      </c>
    </row>
    <row r="648" spans="1:4" x14ac:dyDescent="0.4">
      <c r="A648" t="s">
        <v>1295</v>
      </c>
      <c r="B648" t="s">
        <v>1296</v>
      </c>
      <c r="C648">
        <v>0</v>
      </c>
      <c r="D648" t="e">
        <f>VLOOKUP(A648,'MusiteDeep-11'!$A$1:$F$124,6,0)</f>
        <v>#N/A</v>
      </c>
    </row>
    <row r="649" spans="1:4" x14ac:dyDescent="0.4">
      <c r="A649" t="s">
        <v>1297</v>
      </c>
      <c r="B649" t="s">
        <v>1298</v>
      </c>
      <c r="C649">
        <v>0</v>
      </c>
      <c r="D649" t="e">
        <f>VLOOKUP(A649,'MusiteDeep-11'!$A$1:$F$124,6,0)</f>
        <v>#N/A</v>
      </c>
    </row>
    <row r="650" spans="1:4" x14ac:dyDescent="0.4">
      <c r="A650" t="s">
        <v>1299</v>
      </c>
      <c r="B650" t="s">
        <v>1300</v>
      </c>
      <c r="C650">
        <v>0</v>
      </c>
      <c r="D650" t="e">
        <f>VLOOKUP(A650,'MusiteDeep-11'!$A$1:$F$124,6,0)</f>
        <v>#N/A</v>
      </c>
    </row>
    <row r="651" spans="1:4" x14ac:dyDescent="0.4">
      <c r="A651" t="s">
        <v>1301</v>
      </c>
      <c r="B651" t="s">
        <v>1302</v>
      </c>
      <c r="C651">
        <v>0</v>
      </c>
      <c r="D651" t="e">
        <f>VLOOKUP(A651,'MusiteDeep-11'!$A$1:$F$124,6,0)</f>
        <v>#N/A</v>
      </c>
    </row>
    <row r="652" spans="1:4" x14ac:dyDescent="0.4">
      <c r="A652" t="s">
        <v>1303</v>
      </c>
      <c r="B652" t="s">
        <v>1304</v>
      </c>
      <c r="C652">
        <v>0</v>
      </c>
      <c r="D652" t="e">
        <f>VLOOKUP(A652,'MusiteDeep-11'!$A$1:$F$124,6,0)</f>
        <v>#N/A</v>
      </c>
    </row>
    <row r="653" spans="1:4" x14ac:dyDescent="0.4">
      <c r="A653" t="s">
        <v>1305</v>
      </c>
      <c r="B653" t="s">
        <v>1306</v>
      </c>
      <c r="C653">
        <v>0</v>
      </c>
      <c r="D653" t="e">
        <f>VLOOKUP(A653,'MusiteDeep-11'!$A$1:$F$124,6,0)</f>
        <v>#N/A</v>
      </c>
    </row>
    <row r="654" spans="1:4" x14ac:dyDescent="0.4">
      <c r="A654" t="s">
        <v>1307</v>
      </c>
      <c r="B654" t="s">
        <v>1308</v>
      </c>
      <c r="C654">
        <v>0</v>
      </c>
      <c r="D654" t="e">
        <f>VLOOKUP(A654,'MusiteDeep-11'!$A$1:$F$124,6,0)</f>
        <v>#N/A</v>
      </c>
    </row>
    <row r="655" spans="1:4" x14ac:dyDescent="0.4">
      <c r="A655" t="s">
        <v>1309</v>
      </c>
      <c r="B655" t="s">
        <v>1310</v>
      </c>
      <c r="C655">
        <v>0</v>
      </c>
      <c r="D655" t="e">
        <f>VLOOKUP(A655,'MusiteDeep-11'!$A$1:$F$124,6,0)</f>
        <v>#N/A</v>
      </c>
    </row>
    <row r="656" spans="1:4" x14ac:dyDescent="0.4">
      <c r="A656" t="s">
        <v>1311</v>
      </c>
      <c r="B656" t="s">
        <v>1312</v>
      </c>
      <c r="C656">
        <v>0</v>
      </c>
      <c r="D656" t="e">
        <f>VLOOKUP(A656,'MusiteDeep-11'!$A$1:$F$124,6,0)</f>
        <v>#N/A</v>
      </c>
    </row>
    <row r="657" spans="1:4" x14ac:dyDescent="0.4">
      <c r="A657" t="s">
        <v>1313</v>
      </c>
      <c r="B657" t="s">
        <v>1314</v>
      </c>
      <c r="C657">
        <v>0</v>
      </c>
      <c r="D657" t="e">
        <f>VLOOKUP(A657,'MusiteDeep-11'!$A$1:$F$124,6,0)</f>
        <v>#N/A</v>
      </c>
    </row>
    <row r="658" spans="1:4" x14ac:dyDescent="0.4">
      <c r="A658" t="s">
        <v>1315</v>
      </c>
      <c r="B658" t="s">
        <v>1316</v>
      </c>
      <c r="C658">
        <v>0</v>
      </c>
      <c r="D658" t="e">
        <f>VLOOKUP(A658,'MusiteDeep-11'!$A$1:$F$124,6,0)</f>
        <v>#N/A</v>
      </c>
    </row>
    <row r="659" spans="1:4" x14ac:dyDescent="0.4">
      <c r="A659" t="s">
        <v>1317</v>
      </c>
      <c r="B659" t="s">
        <v>1318</v>
      </c>
      <c r="C659">
        <v>0</v>
      </c>
      <c r="D659" t="e">
        <f>VLOOKUP(A659,'MusiteDeep-11'!$A$1:$F$124,6,0)</f>
        <v>#N/A</v>
      </c>
    </row>
    <row r="660" spans="1:4" x14ac:dyDescent="0.4">
      <c r="A660" t="s">
        <v>1319</v>
      </c>
      <c r="B660" t="s">
        <v>1320</v>
      </c>
      <c r="C660">
        <v>0</v>
      </c>
      <c r="D660" t="e">
        <f>VLOOKUP(A660,'MusiteDeep-11'!$A$1:$F$124,6,0)</f>
        <v>#N/A</v>
      </c>
    </row>
    <row r="661" spans="1:4" x14ac:dyDescent="0.4">
      <c r="A661" t="s">
        <v>1321</v>
      </c>
      <c r="B661" t="s">
        <v>1322</v>
      </c>
      <c r="C661">
        <v>0</v>
      </c>
      <c r="D661" t="e">
        <f>VLOOKUP(A661,'MusiteDeep-11'!$A$1:$F$124,6,0)</f>
        <v>#N/A</v>
      </c>
    </row>
    <row r="662" spans="1:4" x14ac:dyDescent="0.4">
      <c r="A662" t="s">
        <v>1323</v>
      </c>
      <c r="B662" t="s">
        <v>1324</v>
      </c>
      <c r="C662">
        <v>0</v>
      </c>
      <c r="D662" t="e">
        <f>VLOOKUP(A662,'MusiteDeep-11'!$A$1:$F$124,6,0)</f>
        <v>#N/A</v>
      </c>
    </row>
    <row r="663" spans="1:4" x14ac:dyDescent="0.4">
      <c r="A663" t="s">
        <v>1325</v>
      </c>
      <c r="B663" t="s">
        <v>1326</v>
      </c>
      <c r="C663">
        <v>0</v>
      </c>
      <c r="D663">
        <f>VLOOKUP(A663,'MusiteDeep-11'!$A$1:$F$124,6,0)</f>
        <v>0</v>
      </c>
    </row>
    <row r="664" spans="1:4" x14ac:dyDescent="0.4">
      <c r="A664" t="s">
        <v>1327</v>
      </c>
      <c r="B664" t="s">
        <v>1328</v>
      </c>
      <c r="C664">
        <v>0</v>
      </c>
      <c r="D664" t="e">
        <f>VLOOKUP(A664,'MusiteDeep-11'!$A$1:$F$124,6,0)</f>
        <v>#N/A</v>
      </c>
    </row>
    <row r="665" spans="1:4" x14ac:dyDescent="0.4">
      <c r="A665" t="s">
        <v>1329</v>
      </c>
      <c r="B665" t="s">
        <v>1330</v>
      </c>
      <c r="C665">
        <v>0</v>
      </c>
      <c r="D665" t="e">
        <f>VLOOKUP(A665,'MusiteDeep-11'!$A$1:$F$124,6,0)</f>
        <v>#N/A</v>
      </c>
    </row>
    <row r="666" spans="1:4" x14ac:dyDescent="0.4">
      <c r="A666" t="s">
        <v>1331</v>
      </c>
      <c r="B666" t="s">
        <v>1332</v>
      </c>
      <c r="C666">
        <v>0</v>
      </c>
      <c r="D666" t="e">
        <f>VLOOKUP(A666,'MusiteDeep-11'!$A$1:$F$124,6,0)</f>
        <v>#N/A</v>
      </c>
    </row>
    <row r="667" spans="1:4" x14ac:dyDescent="0.4">
      <c r="A667" t="s">
        <v>1333</v>
      </c>
      <c r="B667" t="s">
        <v>1334</v>
      </c>
      <c r="C667">
        <v>0</v>
      </c>
      <c r="D667" t="e">
        <f>VLOOKUP(A667,'MusiteDeep-11'!$A$1:$F$124,6,0)</f>
        <v>#N/A</v>
      </c>
    </row>
    <row r="668" spans="1:4" x14ac:dyDescent="0.4">
      <c r="A668" t="s">
        <v>1335</v>
      </c>
      <c r="B668" t="s">
        <v>1336</v>
      </c>
      <c r="C668">
        <v>0</v>
      </c>
      <c r="D668">
        <f>VLOOKUP(A668,'MusiteDeep-11'!$A$1:$F$124,6,0)</f>
        <v>0</v>
      </c>
    </row>
    <row r="669" spans="1:4" x14ac:dyDescent="0.4">
      <c r="A669" t="s">
        <v>1337</v>
      </c>
      <c r="B669" t="s">
        <v>1338</v>
      </c>
      <c r="C669">
        <v>0</v>
      </c>
      <c r="D669">
        <f>VLOOKUP(A669,'MusiteDeep-11'!$A$1:$F$124,6,0)</f>
        <v>0</v>
      </c>
    </row>
    <row r="670" spans="1:4" x14ac:dyDescent="0.4">
      <c r="A670" t="s">
        <v>1339</v>
      </c>
      <c r="B670" t="s">
        <v>1340</v>
      </c>
      <c r="C670">
        <v>0</v>
      </c>
      <c r="D670" t="e">
        <f>VLOOKUP(A670,'MusiteDeep-11'!$A$1:$F$124,6,0)</f>
        <v>#N/A</v>
      </c>
    </row>
    <row r="671" spans="1:4" x14ac:dyDescent="0.4">
      <c r="A671" t="s">
        <v>1341</v>
      </c>
      <c r="B671" t="s">
        <v>1342</v>
      </c>
      <c r="C671">
        <v>0</v>
      </c>
      <c r="D671" t="e">
        <f>VLOOKUP(A671,'MusiteDeep-11'!$A$1:$F$124,6,0)</f>
        <v>#N/A</v>
      </c>
    </row>
    <row r="672" spans="1:4" x14ac:dyDescent="0.4">
      <c r="A672" t="s">
        <v>1343</v>
      </c>
      <c r="B672" t="s">
        <v>1344</v>
      </c>
      <c r="C672">
        <v>0</v>
      </c>
      <c r="D672" t="e">
        <f>VLOOKUP(A672,'MusiteDeep-11'!$A$1:$F$124,6,0)</f>
        <v>#N/A</v>
      </c>
    </row>
    <row r="673" spans="1:4" x14ac:dyDescent="0.4">
      <c r="A673" t="s">
        <v>1345</v>
      </c>
      <c r="B673" t="s">
        <v>1346</v>
      </c>
      <c r="C673">
        <v>0</v>
      </c>
      <c r="D673" t="e">
        <f>VLOOKUP(A673,'MusiteDeep-11'!$A$1:$F$124,6,0)</f>
        <v>#N/A</v>
      </c>
    </row>
    <row r="674" spans="1:4" x14ac:dyDescent="0.4">
      <c r="A674" t="s">
        <v>1347</v>
      </c>
      <c r="B674" t="s">
        <v>1348</v>
      </c>
      <c r="C674">
        <v>0</v>
      </c>
      <c r="D674" t="e">
        <f>VLOOKUP(A674,'MusiteDeep-11'!$A$1:$F$124,6,0)</f>
        <v>#N/A</v>
      </c>
    </row>
    <row r="675" spans="1:4" x14ac:dyDescent="0.4">
      <c r="A675" t="s">
        <v>1349</v>
      </c>
      <c r="B675" t="s">
        <v>1350</v>
      </c>
      <c r="C675">
        <v>0</v>
      </c>
      <c r="D675" t="e">
        <f>VLOOKUP(A675,'MusiteDeep-11'!$A$1:$F$124,6,0)</f>
        <v>#N/A</v>
      </c>
    </row>
    <row r="676" spans="1:4" x14ac:dyDescent="0.4">
      <c r="A676" t="s">
        <v>1351</v>
      </c>
      <c r="B676" t="s">
        <v>1352</v>
      </c>
      <c r="C676">
        <v>0</v>
      </c>
      <c r="D676">
        <f>VLOOKUP(A676,'MusiteDeep-11'!$A$1:$F$124,6,0)</f>
        <v>0</v>
      </c>
    </row>
    <row r="677" spans="1:4" x14ac:dyDescent="0.4">
      <c r="A677" t="s">
        <v>1353</v>
      </c>
      <c r="B677" t="s">
        <v>1354</v>
      </c>
      <c r="C677">
        <v>0</v>
      </c>
      <c r="D677" t="e">
        <f>VLOOKUP(A677,'MusiteDeep-11'!$A$1:$F$124,6,0)</f>
        <v>#N/A</v>
      </c>
    </row>
    <row r="678" spans="1:4" x14ac:dyDescent="0.4">
      <c r="A678" t="s">
        <v>1355</v>
      </c>
      <c r="B678" t="s">
        <v>1356</v>
      </c>
      <c r="C678">
        <v>0</v>
      </c>
      <c r="D678" t="e">
        <f>VLOOKUP(A678,'MusiteDeep-11'!$A$1:$F$124,6,0)</f>
        <v>#N/A</v>
      </c>
    </row>
    <row r="679" spans="1:4" x14ac:dyDescent="0.4">
      <c r="A679" t="s">
        <v>1357</v>
      </c>
      <c r="B679" t="s">
        <v>1358</v>
      </c>
      <c r="C679">
        <v>0</v>
      </c>
      <c r="D679" t="e">
        <f>VLOOKUP(A679,'MusiteDeep-11'!$A$1:$F$124,6,0)</f>
        <v>#N/A</v>
      </c>
    </row>
    <row r="680" spans="1:4" x14ac:dyDescent="0.4">
      <c r="A680" t="s">
        <v>1359</v>
      </c>
      <c r="B680" t="s">
        <v>1360</v>
      </c>
      <c r="C680">
        <v>0</v>
      </c>
      <c r="D680" t="e">
        <f>VLOOKUP(A680,'MusiteDeep-11'!$A$1:$F$124,6,0)</f>
        <v>#N/A</v>
      </c>
    </row>
    <row r="681" spans="1:4" x14ac:dyDescent="0.4">
      <c r="A681" t="s">
        <v>1361</v>
      </c>
      <c r="B681" t="s">
        <v>1362</v>
      </c>
      <c r="C681">
        <v>0</v>
      </c>
      <c r="D681" t="e">
        <f>VLOOKUP(A681,'MusiteDeep-11'!$A$1:$F$124,6,0)</f>
        <v>#N/A</v>
      </c>
    </row>
    <row r="682" spans="1:4" x14ac:dyDescent="0.4">
      <c r="A682" t="s">
        <v>1363</v>
      </c>
      <c r="B682" t="s">
        <v>1364</v>
      </c>
      <c r="C682">
        <v>0</v>
      </c>
      <c r="D682">
        <f>VLOOKUP(A682,'MusiteDeep-11'!$A$1:$F$124,6,0)</f>
        <v>0</v>
      </c>
    </row>
    <row r="683" spans="1:4" x14ac:dyDescent="0.4">
      <c r="A683" t="s">
        <v>1365</v>
      </c>
      <c r="B683" t="s">
        <v>1366</v>
      </c>
      <c r="C683">
        <v>0</v>
      </c>
      <c r="D683" t="e">
        <f>VLOOKUP(A683,'MusiteDeep-11'!$A$1:$F$124,6,0)</f>
        <v>#N/A</v>
      </c>
    </row>
    <row r="684" spans="1:4" x14ac:dyDescent="0.4">
      <c r="A684" t="s">
        <v>1367</v>
      </c>
      <c r="B684" t="s">
        <v>1368</v>
      </c>
      <c r="C684">
        <v>0</v>
      </c>
      <c r="D684" t="e">
        <f>VLOOKUP(A684,'MusiteDeep-11'!$A$1:$F$124,6,0)</f>
        <v>#N/A</v>
      </c>
    </row>
    <row r="685" spans="1:4" x14ac:dyDescent="0.4">
      <c r="A685" t="s">
        <v>1369</v>
      </c>
      <c r="B685" t="s">
        <v>1370</v>
      </c>
      <c r="C685">
        <v>0</v>
      </c>
      <c r="D685" t="e">
        <f>VLOOKUP(A685,'MusiteDeep-11'!$A$1:$F$124,6,0)</f>
        <v>#N/A</v>
      </c>
    </row>
    <row r="686" spans="1:4" x14ac:dyDescent="0.4">
      <c r="A686" t="s">
        <v>1371</v>
      </c>
      <c r="B686" t="s">
        <v>1372</v>
      </c>
      <c r="C686">
        <v>0</v>
      </c>
      <c r="D686" t="e">
        <f>VLOOKUP(A686,'MusiteDeep-11'!$A$1:$F$124,6,0)</f>
        <v>#N/A</v>
      </c>
    </row>
    <row r="687" spans="1:4" x14ac:dyDescent="0.4">
      <c r="A687" t="s">
        <v>1373</v>
      </c>
      <c r="B687" t="s">
        <v>1374</v>
      </c>
      <c r="C687">
        <v>0</v>
      </c>
      <c r="D687" t="e">
        <f>VLOOKUP(A687,'MusiteDeep-11'!$A$1:$F$124,6,0)</f>
        <v>#N/A</v>
      </c>
    </row>
    <row r="688" spans="1:4" x14ac:dyDescent="0.4">
      <c r="A688" t="s">
        <v>1375</v>
      </c>
      <c r="B688" t="s">
        <v>1376</v>
      </c>
      <c r="C688">
        <v>0</v>
      </c>
      <c r="D688">
        <f>VLOOKUP(A688,'MusiteDeep-11'!$A$1:$F$124,6,0)</f>
        <v>0</v>
      </c>
    </row>
    <row r="689" spans="1:4" x14ac:dyDescent="0.4">
      <c r="A689" t="s">
        <v>1377</v>
      </c>
      <c r="B689" t="s">
        <v>1378</v>
      </c>
      <c r="C689">
        <v>0</v>
      </c>
      <c r="D689" t="e">
        <f>VLOOKUP(A689,'MusiteDeep-11'!$A$1:$F$124,6,0)</f>
        <v>#N/A</v>
      </c>
    </row>
    <row r="690" spans="1:4" x14ac:dyDescent="0.4">
      <c r="A690" t="s">
        <v>1379</v>
      </c>
      <c r="B690" t="s">
        <v>1380</v>
      </c>
      <c r="C690">
        <v>0</v>
      </c>
      <c r="D690" t="e">
        <f>VLOOKUP(A690,'MusiteDeep-11'!$A$1:$F$124,6,0)</f>
        <v>#N/A</v>
      </c>
    </row>
    <row r="691" spans="1:4" x14ac:dyDescent="0.4">
      <c r="A691" t="s">
        <v>1381</v>
      </c>
      <c r="B691" t="s">
        <v>1382</v>
      </c>
      <c r="C691">
        <v>0</v>
      </c>
      <c r="D691">
        <f>VLOOKUP(A691,'MusiteDeep-11'!$A$1:$F$124,6,0)</f>
        <v>0</v>
      </c>
    </row>
    <row r="692" spans="1:4" x14ac:dyDescent="0.4">
      <c r="A692" t="s">
        <v>1383</v>
      </c>
      <c r="B692" t="s">
        <v>1384</v>
      </c>
      <c r="C692">
        <v>0</v>
      </c>
      <c r="D692" t="e">
        <f>VLOOKUP(A692,'MusiteDeep-11'!$A$1:$F$124,6,0)</f>
        <v>#N/A</v>
      </c>
    </row>
    <row r="693" spans="1:4" x14ac:dyDescent="0.4">
      <c r="A693" t="s">
        <v>1385</v>
      </c>
      <c r="B693" t="s">
        <v>1386</v>
      </c>
      <c r="C693">
        <v>0</v>
      </c>
      <c r="D693" t="e">
        <f>VLOOKUP(A693,'MusiteDeep-11'!$A$1:$F$124,6,0)</f>
        <v>#N/A</v>
      </c>
    </row>
    <row r="694" spans="1:4" x14ac:dyDescent="0.4">
      <c r="A694" t="s">
        <v>1387</v>
      </c>
      <c r="B694" t="s">
        <v>1388</v>
      </c>
      <c r="C694">
        <v>0</v>
      </c>
      <c r="D694" t="e">
        <f>VLOOKUP(A694,'MusiteDeep-11'!$A$1:$F$124,6,0)</f>
        <v>#N/A</v>
      </c>
    </row>
    <row r="695" spans="1:4" x14ac:dyDescent="0.4">
      <c r="A695" t="s">
        <v>1389</v>
      </c>
      <c r="B695" t="s">
        <v>1390</v>
      </c>
      <c r="C695">
        <v>0</v>
      </c>
      <c r="D695" t="e">
        <f>VLOOKUP(A695,'MusiteDeep-11'!$A$1:$F$124,6,0)</f>
        <v>#N/A</v>
      </c>
    </row>
    <row r="696" spans="1:4" x14ac:dyDescent="0.4">
      <c r="A696" t="s">
        <v>1391</v>
      </c>
      <c r="B696" t="s">
        <v>1392</v>
      </c>
      <c r="C696">
        <v>0</v>
      </c>
      <c r="D696">
        <f>VLOOKUP(A696,'MusiteDeep-11'!$A$1:$F$124,6,0)</f>
        <v>0</v>
      </c>
    </row>
    <row r="697" spans="1:4" x14ac:dyDescent="0.4">
      <c r="A697" t="s">
        <v>1393</v>
      </c>
      <c r="B697" t="s">
        <v>1394</v>
      </c>
      <c r="C697">
        <v>0</v>
      </c>
      <c r="D697" t="e">
        <f>VLOOKUP(A697,'MusiteDeep-11'!$A$1:$F$124,6,0)</f>
        <v>#N/A</v>
      </c>
    </row>
    <row r="698" spans="1:4" x14ac:dyDescent="0.4">
      <c r="A698" t="s">
        <v>1395</v>
      </c>
      <c r="B698" t="s">
        <v>1396</v>
      </c>
      <c r="C698">
        <v>0</v>
      </c>
      <c r="D698" t="e">
        <f>VLOOKUP(A698,'MusiteDeep-11'!$A$1:$F$124,6,0)</f>
        <v>#N/A</v>
      </c>
    </row>
    <row r="699" spans="1:4" x14ac:dyDescent="0.4">
      <c r="A699" t="s">
        <v>1397</v>
      </c>
      <c r="B699" t="s">
        <v>1398</v>
      </c>
      <c r="C699">
        <v>0</v>
      </c>
      <c r="D699" t="e">
        <f>VLOOKUP(A699,'MusiteDeep-11'!$A$1:$F$124,6,0)</f>
        <v>#N/A</v>
      </c>
    </row>
    <row r="700" spans="1:4" x14ac:dyDescent="0.4">
      <c r="A700" t="s">
        <v>1399</v>
      </c>
      <c r="B700" t="s">
        <v>1400</v>
      </c>
      <c r="C700">
        <v>0</v>
      </c>
      <c r="D700" t="e">
        <f>VLOOKUP(A700,'MusiteDeep-11'!$A$1:$F$124,6,0)</f>
        <v>#N/A</v>
      </c>
    </row>
    <row r="701" spans="1:4" x14ac:dyDescent="0.4">
      <c r="A701" t="s">
        <v>1401</v>
      </c>
      <c r="B701" t="s">
        <v>1402</v>
      </c>
      <c r="C701">
        <v>0</v>
      </c>
      <c r="D701" t="e">
        <f>VLOOKUP(A701,'MusiteDeep-11'!$A$1:$F$124,6,0)</f>
        <v>#N/A</v>
      </c>
    </row>
    <row r="702" spans="1:4" x14ac:dyDescent="0.4">
      <c r="A702" t="s">
        <v>1403</v>
      </c>
      <c r="B702" t="s">
        <v>1404</v>
      </c>
      <c r="C702">
        <v>0</v>
      </c>
      <c r="D702" t="e">
        <f>VLOOKUP(A702,'MusiteDeep-11'!$A$1:$F$124,6,0)</f>
        <v>#N/A</v>
      </c>
    </row>
    <row r="703" spans="1:4" x14ac:dyDescent="0.4">
      <c r="A703" t="s">
        <v>1405</v>
      </c>
      <c r="B703" t="s">
        <v>1406</v>
      </c>
      <c r="C703">
        <v>0</v>
      </c>
      <c r="D703" t="e">
        <f>VLOOKUP(A703,'MusiteDeep-11'!$A$1:$F$124,6,0)</f>
        <v>#N/A</v>
      </c>
    </row>
    <row r="704" spans="1:4" x14ac:dyDescent="0.4">
      <c r="A704" t="s">
        <v>1407</v>
      </c>
      <c r="B704" t="s">
        <v>1408</v>
      </c>
      <c r="C704">
        <v>0</v>
      </c>
      <c r="D704" t="e">
        <f>VLOOKUP(A704,'MusiteDeep-11'!$A$1:$F$124,6,0)</f>
        <v>#N/A</v>
      </c>
    </row>
    <row r="705" spans="1:4" x14ac:dyDescent="0.4">
      <c r="A705" t="s">
        <v>1409</v>
      </c>
      <c r="B705" t="s">
        <v>1410</v>
      </c>
      <c r="C705">
        <v>0</v>
      </c>
      <c r="D705" t="e">
        <f>VLOOKUP(A705,'MusiteDeep-11'!$A$1:$F$124,6,0)</f>
        <v>#N/A</v>
      </c>
    </row>
    <row r="706" spans="1:4" x14ac:dyDescent="0.4">
      <c r="A706" t="s">
        <v>1411</v>
      </c>
      <c r="B706" t="s">
        <v>1412</v>
      </c>
      <c r="C706">
        <v>0</v>
      </c>
      <c r="D706" t="e">
        <f>VLOOKUP(A706,'MusiteDeep-11'!$A$1:$F$124,6,0)</f>
        <v>#N/A</v>
      </c>
    </row>
    <row r="707" spans="1:4" x14ac:dyDescent="0.4">
      <c r="A707" t="s">
        <v>1413</v>
      </c>
      <c r="B707" t="s">
        <v>1414</v>
      </c>
      <c r="C707">
        <v>0</v>
      </c>
      <c r="D707" t="e">
        <f>VLOOKUP(A707,'MusiteDeep-11'!$A$1:$F$124,6,0)</f>
        <v>#N/A</v>
      </c>
    </row>
    <row r="708" spans="1:4" x14ac:dyDescent="0.4">
      <c r="A708" t="s">
        <v>1415</v>
      </c>
      <c r="B708" t="s">
        <v>1416</v>
      </c>
      <c r="C708">
        <v>0</v>
      </c>
      <c r="D708" t="e">
        <f>VLOOKUP(A708,'MusiteDeep-11'!$A$1:$F$124,6,0)</f>
        <v>#N/A</v>
      </c>
    </row>
    <row r="709" spans="1:4" x14ac:dyDescent="0.4">
      <c r="A709" t="s">
        <v>1417</v>
      </c>
      <c r="B709" t="s">
        <v>1418</v>
      </c>
      <c r="C709">
        <v>0</v>
      </c>
      <c r="D709" t="e">
        <f>VLOOKUP(A709,'MusiteDeep-11'!$A$1:$F$124,6,0)</f>
        <v>#N/A</v>
      </c>
    </row>
    <row r="710" spans="1:4" x14ac:dyDescent="0.4">
      <c r="A710" t="s">
        <v>1419</v>
      </c>
      <c r="B710" t="s">
        <v>1420</v>
      </c>
      <c r="C710">
        <v>0</v>
      </c>
      <c r="D710" t="e">
        <f>VLOOKUP(A710,'MusiteDeep-11'!$A$1:$F$124,6,0)</f>
        <v>#N/A</v>
      </c>
    </row>
    <row r="711" spans="1:4" x14ac:dyDescent="0.4">
      <c r="A711" t="s">
        <v>1421</v>
      </c>
      <c r="B711" t="s">
        <v>1422</v>
      </c>
      <c r="C711">
        <v>0</v>
      </c>
      <c r="D711" t="e">
        <f>VLOOKUP(A711,'MusiteDeep-11'!$A$1:$F$124,6,0)</f>
        <v>#N/A</v>
      </c>
    </row>
    <row r="712" spans="1:4" x14ac:dyDescent="0.4">
      <c r="A712" t="s">
        <v>1423</v>
      </c>
      <c r="B712" t="s">
        <v>1424</v>
      </c>
      <c r="C712">
        <v>0</v>
      </c>
      <c r="D712" t="e">
        <f>VLOOKUP(A712,'MusiteDeep-11'!$A$1:$F$124,6,0)</f>
        <v>#N/A</v>
      </c>
    </row>
    <row r="713" spans="1:4" x14ac:dyDescent="0.4">
      <c r="A713" t="s">
        <v>1425</v>
      </c>
      <c r="B713" t="s">
        <v>1426</v>
      </c>
      <c r="C713">
        <v>0</v>
      </c>
      <c r="D713">
        <f>VLOOKUP(A713,'MusiteDeep-11'!$A$1:$F$124,6,0)</f>
        <v>0</v>
      </c>
    </row>
    <row r="714" spans="1:4" x14ac:dyDescent="0.4">
      <c r="A714" t="s">
        <v>1427</v>
      </c>
      <c r="B714" t="s">
        <v>1428</v>
      </c>
      <c r="C714">
        <v>0</v>
      </c>
      <c r="D714" t="e">
        <f>VLOOKUP(A714,'MusiteDeep-11'!$A$1:$F$124,6,0)</f>
        <v>#N/A</v>
      </c>
    </row>
    <row r="715" spans="1:4" x14ac:dyDescent="0.4">
      <c r="A715" t="s">
        <v>1429</v>
      </c>
      <c r="B715" t="s">
        <v>1430</v>
      </c>
      <c r="C715">
        <v>0</v>
      </c>
      <c r="D715">
        <f>VLOOKUP(A715,'MusiteDeep-11'!$A$1:$F$124,6,0)</f>
        <v>0</v>
      </c>
    </row>
    <row r="716" spans="1:4" x14ac:dyDescent="0.4">
      <c r="A716" t="s">
        <v>1431</v>
      </c>
      <c r="B716" t="s">
        <v>1432</v>
      </c>
      <c r="C716">
        <v>0</v>
      </c>
      <c r="D716" t="e">
        <f>VLOOKUP(A716,'MusiteDeep-11'!$A$1:$F$124,6,0)</f>
        <v>#N/A</v>
      </c>
    </row>
    <row r="717" spans="1:4" x14ac:dyDescent="0.4">
      <c r="A717" t="s">
        <v>1433</v>
      </c>
      <c r="B717" t="s">
        <v>1434</v>
      </c>
      <c r="C717">
        <v>0</v>
      </c>
      <c r="D717" t="e">
        <f>VLOOKUP(A717,'MusiteDeep-11'!$A$1:$F$124,6,0)</f>
        <v>#N/A</v>
      </c>
    </row>
    <row r="718" spans="1:4" x14ac:dyDescent="0.4">
      <c r="A718" t="s">
        <v>1435</v>
      </c>
      <c r="B718" t="s">
        <v>1436</v>
      </c>
      <c r="C718">
        <v>0</v>
      </c>
      <c r="D718" t="e">
        <f>VLOOKUP(A718,'MusiteDeep-11'!$A$1:$F$124,6,0)</f>
        <v>#N/A</v>
      </c>
    </row>
    <row r="719" spans="1:4" x14ac:dyDescent="0.4">
      <c r="A719" t="s">
        <v>1437</v>
      </c>
      <c r="B719" t="s">
        <v>1438</v>
      </c>
      <c r="C719">
        <v>0</v>
      </c>
      <c r="D719" t="e">
        <f>VLOOKUP(A719,'MusiteDeep-11'!$A$1:$F$124,6,0)</f>
        <v>#N/A</v>
      </c>
    </row>
    <row r="720" spans="1:4" x14ac:dyDescent="0.4">
      <c r="A720" t="s">
        <v>1439</v>
      </c>
      <c r="B720" t="s">
        <v>1440</v>
      </c>
      <c r="C720">
        <v>0</v>
      </c>
      <c r="D720" t="e">
        <f>VLOOKUP(A720,'MusiteDeep-11'!$A$1:$F$124,6,0)</f>
        <v>#N/A</v>
      </c>
    </row>
    <row r="721" spans="1:4" x14ac:dyDescent="0.4">
      <c r="A721" t="s">
        <v>1441</v>
      </c>
      <c r="B721" t="s">
        <v>1442</v>
      </c>
      <c r="C721">
        <v>0</v>
      </c>
      <c r="D721" t="e">
        <f>VLOOKUP(A721,'MusiteDeep-11'!$A$1:$F$124,6,0)</f>
        <v>#N/A</v>
      </c>
    </row>
    <row r="722" spans="1:4" x14ac:dyDescent="0.4">
      <c r="A722" t="s">
        <v>1443</v>
      </c>
      <c r="B722" t="s">
        <v>1444</v>
      </c>
      <c r="C722">
        <v>0</v>
      </c>
      <c r="D722" t="e">
        <f>VLOOKUP(A722,'MusiteDeep-11'!$A$1:$F$124,6,0)</f>
        <v>#N/A</v>
      </c>
    </row>
    <row r="723" spans="1:4" x14ac:dyDescent="0.4">
      <c r="A723" t="s">
        <v>1445</v>
      </c>
      <c r="B723" t="s">
        <v>1446</v>
      </c>
      <c r="C723">
        <v>0</v>
      </c>
      <c r="D723">
        <f>VLOOKUP(A723,'MusiteDeep-11'!$A$1:$F$124,6,0)</f>
        <v>0</v>
      </c>
    </row>
    <row r="724" spans="1:4" x14ac:dyDescent="0.4">
      <c r="A724" t="s">
        <v>1447</v>
      </c>
      <c r="B724" t="s">
        <v>1448</v>
      </c>
      <c r="C724">
        <v>0</v>
      </c>
      <c r="D724" t="e">
        <f>VLOOKUP(A724,'MusiteDeep-11'!$A$1:$F$124,6,0)</f>
        <v>#N/A</v>
      </c>
    </row>
    <row r="725" spans="1:4" x14ac:dyDescent="0.4">
      <c r="A725" t="s">
        <v>1449</v>
      </c>
      <c r="B725" t="s">
        <v>1450</v>
      </c>
      <c r="C725">
        <v>0</v>
      </c>
      <c r="D725" t="e">
        <f>VLOOKUP(A725,'MusiteDeep-11'!$A$1:$F$124,6,0)</f>
        <v>#N/A</v>
      </c>
    </row>
    <row r="726" spans="1:4" x14ac:dyDescent="0.4">
      <c r="A726" t="s">
        <v>1451</v>
      </c>
      <c r="B726" t="s">
        <v>1452</v>
      </c>
      <c r="C726">
        <v>0</v>
      </c>
      <c r="D726" t="e">
        <f>VLOOKUP(A726,'MusiteDeep-11'!$A$1:$F$124,6,0)</f>
        <v>#N/A</v>
      </c>
    </row>
    <row r="727" spans="1:4" x14ac:dyDescent="0.4">
      <c r="A727" t="s">
        <v>1453</v>
      </c>
      <c r="B727" t="s">
        <v>1454</v>
      </c>
      <c r="C727">
        <v>0</v>
      </c>
      <c r="D727" t="e">
        <f>VLOOKUP(A727,'MusiteDeep-11'!$A$1:$F$124,6,0)</f>
        <v>#N/A</v>
      </c>
    </row>
    <row r="728" spans="1:4" x14ac:dyDescent="0.4">
      <c r="A728" t="s">
        <v>1455</v>
      </c>
      <c r="B728" t="s">
        <v>1456</v>
      </c>
      <c r="C728">
        <v>0</v>
      </c>
      <c r="D728" t="e">
        <f>VLOOKUP(A728,'MusiteDeep-11'!$A$1:$F$124,6,0)</f>
        <v>#N/A</v>
      </c>
    </row>
    <row r="729" spans="1:4" x14ac:dyDescent="0.4">
      <c r="A729" t="s">
        <v>1457</v>
      </c>
      <c r="B729" t="s">
        <v>1458</v>
      </c>
      <c r="C729">
        <v>0</v>
      </c>
      <c r="D729" t="e">
        <f>VLOOKUP(A729,'MusiteDeep-11'!$A$1:$F$124,6,0)</f>
        <v>#N/A</v>
      </c>
    </row>
    <row r="730" spans="1:4" x14ac:dyDescent="0.4">
      <c r="A730" t="s">
        <v>1459</v>
      </c>
      <c r="B730" t="s">
        <v>1460</v>
      </c>
      <c r="C730">
        <v>0</v>
      </c>
      <c r="D730" t="e">
        <f>VLOOKUP(A730,'MusiteDeep-11'!$A$1:$F$124,6,0)</f>
        <v>#N/A</v>
      </c>
    </row>
    <row r="731" spans="1:4" x14ac:dyDescent="0.4">
      <c r="A731" t="s">
        <v>1461</v>
      </c>
      <c r="B731" t="s">
        <v>1462</v>
      </c>
      <c r="C731">
        <v>0</v>
      </c>
      <c r="D731" t="e">
        <f>VLOOKUP(A731,'MusiteDeep-11'!$A$1:$F$124,6,0)</f>
        <v>#N/A</v>
      </c>
    </row>
    <row r="732" spans="1:4" x14ac:dyDescent="0.4">
      <c r="A732" t="s">
        <v>1463</v>
      </c>
      <c r="B732" t="s">
        <v>1464</v>
      </c>
      <c r="C732">
        <v>0</v>
      </c>
      <c r="D732" t="e">
        <f>VLOOKUP(A732,'MusiteDeep-11'!$A$1:$F$124,6,0)</f>
        <v>#N/A</v>
      </c>
    </row>
    <row r="733" spans="1:4" x14ac:dyDescent="0.4">
      <c r="A733" t="s">
        <v>1465</v>
      </c>
      <c r="B733" t="s">
        <v>1466</v>
      </c>
      <c r="C733">
        <v>0</v>
      </c>
      <c r="D733" t="e">
        <f>VLOOKUP(A733,'MusiteDeep-11'!$A$1:$F$124,6,0)</f>
        <v>#N/A</v>
      </c>
    </row>
    <row r="734" spans="1:4" x14ac:dyDescent="0.4">
      <c r="A734" t="s">
        <v>1467</v>
      </c>
      <c r="B734" t="s">
        <v>1468</v>
      </c>
      <c r="C734">
        <v>0</v>
      </c>
      <c r="D734" t="e">
        <f>VLOOKUP(A734,'MusiteDeep-11'!$A$1:$F$124,6,0)</f>
        <v>#N/A</v>
      </c>
    </row>
    <row r="735" spans="1:4" x14ac:dyDescent="0.4">
      <c r="A735" t="s">
        <v>1469</v>
      </c>
      <c r="B735" t="s">
        <v>1470</v>
      </c>
      <c r="C735">
        <v>0</v>
      </c>
      <c r="D735" t="e">
        <f>VLOOKUP(A735,'MusiteDeep-11'!$A$1:$F$124,6,0)</f>
        <v>#N/A</v>
      </c>
    </row>
    <row r="736" spans="1:4" x14ac:dyDescent="0.4">
      <c r="A736" t="s">
        <v>1471</v>
      </c>
      <c r="B736" t="s">
        <v>1472</v>
      </c>
      <c r="C736">
        <v>0</v>
      </c>
      <c r="D736" t="e">
        <f>VLOOKUP(A736,'MusiteDeep-11'!$A$1:$F$124,6,0)</f>
        <v>#N/A</v>
      </c>
    </row>
    <row r="737" spans="1:4" x14ac:dyDescent="0.4">
      <c r="A737" t="s">
        <v>1473</v>
      </c>
      <c r="B737" t="s">
        <v>1474</v>
      </c>
      <c r="C737">
        <v>0</v>
      </c>
      <c r="D737" t="e">
        <f>VLOOKUP(A737,'MusiteDeep-11'!$A$1:$F$124,6,0)</f>
        <v>#N/A</v>
      </c>
    </row>
    <row r="738" spans="1:4" x14ac:dyDescent="0.4">
      <c r="A738" t="s">
        <v>1475</v>
      </c>
      <c r="B738" t="s">
        <v>1476</v>
      </c>
      <c r="C738">
        <v>0</v>
      </c>
      <c r="D738" t="e">
        <f>VLOOKUP(A738,'MusiteDeep-11'!$A$1:$F$124,6,0)</f>
        <v>#N/A</v>
      </c>
    </row>
    <row r="739" spans="1:4" x14ac:dyDescent="0.4">
      <c r="A739" t="s">
        <v>1477</v>
      </c>
      <c r="B739" t="s">
        <v>1478</v>
      </c>
      <c r="C739">
        <v>0</v>
      </c>
      <c r="D739" t="e">
        <f>VLOOKUP(A739,'MusiteDeep-11'!$A$1:$F$124,6,0)</f>
        <v>#N/A</v>
      </c>
    </row>
    <row r="740" spans="1:4" x14ac:dyDescent="0.4">
      <c r="A740" t="s">
        <v>1479</v>
      </c>
      <c r="B740" t="s">
        <v>1480</v>
      </c>
      <c r="C740">
        <v>0</v>
      </c>
      <c r="D740" t="e">
        <f>VLOOKUP(A740,'MusiteDeep-11'!$A$1:$F$124,6,0)</f>
        <v>#N/A</v>
      </c>
    </row>
    <row r="741" spans="1:4" x14ac:dyDescent="0.4">
      <c r="A741" t="s">
        <v>1481</v>
      </c>
      <c r="B741" t="s">
        <v>1482</v>
      </c>
      <c r="C741">
        <v>0</v>
      </c>
      <c r="D741" t="e">
        <f>VLOOKUP(A741,'MusiteDeep-11'!$A$1:$F$124,6,0)</f>
        <v>#N/A</v>
      </c>
    </row>
    <row r="742" spans="1:4" x14ac:dyDescent="0.4">
      <c r="A742" t="s">
        <v>1483</v>
      </c>
      <c r="B742" t="s">
        <v>1484</v>
      </c>
      <c r="C742">
        <v>0</v>
      </c>
      <c r="D742" t="e">
        <f>VLOOKUP(A742,'MusiteDeep-11'!$A$1:$F$124,6,0)</f>
        <v>#N/A</v>
      </c>
    </row>
    <row r="743" spans="1:4" x14ac:dyDescent="0.4">
      <c r="A743" t="s">
        <v>1485</v>
      </c>
      <c r="B743" t="s">
        <v>1486</v>
      </c>
      <c r="C743">
        <v>0</v>
      </c>
      <c r="D743" t="e">
        <f>VLOOKUP(A743,'MusiteDeep-11'!$A$1:$F$124,6,0)</f>
        <v>#N/A</v>
      </c>
    </row>
    <row r="744" spans="1:4" x14ac:dyDescent="0.4">
      <c r="A744" t="s">
        <v>1487</v>
      </c>
      <c r="B744" t="s">
        <v>1488</v>
      </c>
      <c r="C744">
        <v>0</v>
      </c>
      <c r="D744" t="e">
        <f>VLOOKUP(A744,'MusiteDeep-11'!$A$1:$F$124,6,0)</f>
        <v>#N/A</v>
      </c>
    </row>
    <row r="745" spans="1:4" x14ac:dyDescent="0.4">
      <c r="A745" t="s">
        <v>1489</v>
      </c>
      <c r="B745" t="s">
        <v>1490</v>
      </c>
      <c r="C745">
        <v>0</v>
      </c>
      <c r="D745" t="e">
        <f>VLOOKUP(A745,'MusiteDeep-11'!$A$1:$F$124,6,0)</f>
        <v>#N/A</v>
      </c>
    </row>
    <row r="746" spans="1:4" x14ac:dyDescent="0.4">
      <c r="A746" t="s">
        <v>1491</v>
      </c>
      <c r="B746" t="s">
        <v>1492</v>
      </c>
      <c r="C746">
        <v>0</v>
      </c>
      <c r="D746" t="e">
        <f>VLOOKUP(A746,'MusiteDeep-11'!$A$1:$F$124,6,0)</f>
        <v>#N/A</v>
      </c>
    </row>
    <row r="747" spans="1:4" x14ac:dyDescent="0.4">
      <c r="A747" t="s">
        <v>1493</v>
      </c>
      <c r="B747" t="s">
        <v>1494</v>
      </c>
      <c r="C747">
        <v>0</v>
      </c>
      <c r="D747" t="e">
        <f>VLOOKUP(A747,'MusiteDeep-11'!$A$1:$F$124,6,0)</f>
        <v>#N/A</v>
      </c>
    </row>
    <row r="748" spans="1:4" x14ac:dyDescent="0.4">
      <c r="A748" t="s">
        <v>1495</v>
      </c>
      <c r="B748" t="s">
        <v>1496</v>
      </c>
      <c r="C748">
        <v>0</v>
      </c>
      <c r="D748" t="e">
        <f>VLOOKUP(A748,'MusiteDeep-11'!$A$1:$F$124,6,0)</f>
        <v>#N/A</v>
      </c>
    </row>
    <row r="749" spans="1:4" x14ac:dyDescent="0.4">
      <c r="A749" t="s">
        <v>1497</v>
      </c>
      <c r="B749" t="s">
        <v>1498</v>
      </c>
      <c r="C749">
        <v>0</v>
      </c>
      <c r="D749">
        <f>VLOOKUP(A749,'MusiteDeep-11'!$A$1:$F$124,6,0)</f>
        <v>0</v>
      </c>
    </row>
    <row r="750" spans="1:4" x14ac:dyDescent="0.4">
      <c r="A750" t="s">
        <v>1499</v>
      </c>
      <c r="B750" t="s">
        <v>1500</v>
      </c>
      <c r="C750">
        <v>0</v>
      </c>
      <c r="D750" t="e">
        <f>VLOOKUP(A750,'MusiteDeep-11'!$A$1:$F$124,6,0)</f>
        <v>#N/A</v>
      </c>
    </row>
    <row r="751" spans="1:4" x14ac:dyDescent="0.4">
      <c r="A751" t="s">
        <v>1501</v>
      </c>
      <c r="B751" t="s">
        <v>1502</v>
      </c>
      <c r="C751">
        <v>0</v>
      </c>
      <c r="D751" t="e">
        <f>VLOOKUP(A751,'MusiteDeep-11'!$A$1:$F$124,6,0)</f>
        <v>#N/A</v>
      </c>
    </row>
    <row r="752" spans="1:4" x14ac:dyDescent="0.4">
      <c r="A752" t="s">
        <v>1503</v>
      </c>
      <c r="B752" t="s">
        <v>1504</v>
      </c>
      <c r="C752">
        <v>0</v>
      </c>
      <c r="D752" t="e">
        <f>VLOOKUP(A752,'MusiteDeep-11'!$A$1:$F$124,6,0)</f>
        <v>#N/A</v>
      </c>
    </row>
    <row r="753" spans="1:4" x14ac:dyDescent="0.4">
      <c r="A753" t="s">
        <v>1505</v>
      </c>
      <c r="B753" t="s">
        <v>1506</v>
      </c>
      <c r="C753">
        <v>0</v>
      </c>
      <c r="D753" t="e">
        <f>VLOOKUP(A753,'MusiteDeep-11'!$A$1:$F$124,6,0)</f>
        <v>#N/A</v>
      </c>
    </row>
    <row r="754" spans="1:4" x14ac:dyDescent="0.4">
      <c r="A754" t="s">
        <v>1507</v>
      </c>
      <c r="B754" t="s">
        <v>1508</v>
      </c>
      <c r="C754">
        <v>0</v>
      </c>
      <c r="D754" t="e">
        <f>VLOOKUP(A754,'MusiteDeep-11'!$A$1:$F$124,6,0)</f>
        <v>#N/A</v>
      </c>
    </row>
    <row r="755" spans="1:4" x14ac:dyDescent="0.4">
      <c r="A755" t="s">
        <v>1509</v>
      </c>
      <c r="B755" t="s">
        <v>1510</v>
      </c>
      <c r="C755">
        <v>0</v>
      </c>
      <c r="D755" t="e">
        <f>VLOOKUP(A755,'MusiteDeep-11'!$A$1:$F$124,6,0)</f>
        <v>#N/A</v>
      </c>
    </row>
    <row r="756" spans="1:4" x14ac:dyDescent="0.4">
      <c r="A756" t="s">
        <v>1511</v>
      </c>
      <c r="B756" t="s">
        <v>1512</v>
      </c>
      <c r="C756">
        <v>0</v>
      </c>
      <c r="D756" t="e">
        <f>VLOOKUP(A756,'MusiteDeep-11'!$A$1:$F$124,6,0)</f>
        <v>#N/A</v>
      </c>
    </row>
    <row r="757" spans="1:4" x14ac:dyDescent="0.4">
      <c r="A757" t="s">
        <v>1513</v>
      </c>
      <c r="B757" t="s">
        <v>1514</v>
      </c>
      <c r="C757">
        <v>0</v>
      </c>
      <c r="D757" t="e">
        <f>VLOOKUP(A757,'MusiteDeep-11'!$A$1:$F$124,6,0)</f>
        <v>#N/A</v>
      </c>
    </row>
    <row r="758" spans="1:4" x14ac:dyDescent="0.4">
      <c r="A758" t="s">
        <v>1515</v>
      </c>
      <c r="B758" t="s">
        <v>1516</v>
      </c>
      <c r="C758">
        <v>0</v>
      </c>
      <c r="D758" t="e">
        <f>VLOOKUP(A758,'MusiteDeep-11'!$A$1:$F$124,6,0)</f>
        <v>#N/A</v>
      </c>
    </row>
    <row r="759" spans="1:4" x14ac:dyDescent="0.4">
      <c r="A759" t="s">
        <v>1517</v>
      </c>
      <c r="B759" t="s">
        <v>1518</v>
      </c>
      <c r="C759">
        <v>0</v>
      </c>
      <c r="D759" t="e">
        <f>VLOOKUP(A759,'MusiteDeep-11'!$A$1:$F$124,6,0)</f>
        <v>#N/A</v>
      </c>
    </row>
    <row r="760" spans="1:4" x14ac:dyDescent="0.4">
      <c r="A760" t="s">
        <v>1519</v>
      </c>
      <c r="B760" t="s">
        <v>1520</v>
      </c>
      <c r="C760">
        <v>0</v>
      </c>
      <c r="D760" t="e">
        <f>VLOOKUP(A760,'MusiteDeep-11'!$A$1:$F$124,6,0)</f>
        <v>#N/A</v>
      </c>
    </row>
    <row r="761" spans="1:4" x14ac:dyDescent="0.4">
      <c r="A761" t="s">
        <v>1521</v>
      </c>
      <c r="B761" t="s">
        <v>1522</v>
      </c>
      <c r="C761">
        <v>0</v>
      </c>
      <c r="D761">
        <f>VLOOKUP(A761,'MusiteDeep-11'!$A$1:$F$124,6,0)</f>
        <v>0</v>
      </c>
    </row>
    <row r="762" spans="1:4" x14ac:dyDescent="0.4">
      <c r="A762" t="s">
        <v>1523</v>
      </c>
      <c r="B762" t="s">
        <v>1524</v>
      </c>
      <c r="C762">
        <v>0</v>
      </c>
      <c r="D762" t="e">
        <f>VLOOKUP(A762,'MusiteDeep-11'!$A$1:$F$124,6,0)</f>
        <v>#N/A</v>
      </c>
    </row>
    <row r="763" spans="1:4" x14ac:dyDescent="0.4">
      <c r="A763" t="s">
        <v>1525</v>
      </c>
      <c r="B763" t="s">
        <v>1526</v>
      </c>
      <c r="C763">
        <v>0</v>
      </c>
      <c r="D763" t="e">
        <f>VLOOKUP(A763,'MusiteDeep-11'!$A$1:$F$124,6,0)</f>
        <v>#N/A</v>
      </c>
    </row>
    <row r="764" spans="1:4" x14ac:dyDescent="0.4">
      <c r="A764" t="s">
        <v>1527</v>
      </c>
      <c r="B764" t="s">
        <v>1528</v>
      </c>
      <c r="C764">
        <v>0</v>
      </c>
      <c r="D764" t="e">
        <f>VLOOKUP(A764,'MusiteDeep-11'!$A$1:$F$124,6,0)</f>
        <v>#N/A</v>
      </c>
    </row>
    <row r="765" spans="1:4" x14ac:dyDescent="0.4">
      <c r="A765" t="s">
        <v>1529</v>
      </c>
      <c r="B765" t="s">
        <v>1530</v>
      </c>
      <c r="C765">
        <v>0</v>
      </c>
      <c r="D765" t="e">
        <f>VLOOKUP(A765,'MusiteDeep-11'!$A$1:$F$124,6,0)</f>
        <v>#N/A</v>
      </c>
    </row>
    <row r="766" spans="1:4" x14ac:dyDescent="0.4">
      <c r="A766" t="s">
        <v>1531</v>
      </c>
      <c r="B766" t="s">
        <v>1532</v>
      </c>
      <c r="C766">
        <v>0</v>
      </c>
      <c r="D766" t="e">
        <f>VLOOKUP(A766,'MusiteDeep-11'!$A$1:$F$124,6,0)</f>
        <v>#N/A</v>
      </c>
    </row>
    <row r="767" spans="1:4" x14ac:dyDescent="0.4">
      <c r="A767" t="s">
        <v>1533</v>
      </c>
      <c r="B767" t="s">
        <v>1534</v>
      </c>
      <c r="C767">
        <v>0</v>
      </c>
      <c r="D767" t="e">
        <f>VLOOKUP(A767,'MusiteDeep-11'!$A$1:$F$124,6,0)</f>
        <v>#N/A</v>
      </c>
    </row>
    <row r="768" spans="1:4" x14ac:dyDescent="0.4">
      <c r="A768" t="s">
        <v>1535</v>
      </c>
      <c r="B768" t="s">
        <v>1536</v>
      </c>
      <c r="C768">
        <v>0</v>
      </c>
      <c r="D768" t="e">
        <f>VLOOKUP(A768,'MusiteDeep-11'!$A$1:$F$124,6,0)</f>
        <v>#N/A</v>
      </c>
    </row>
    <row r="769" spans="1:4" x14ac:dyDescent="0.4">
      <c r="A769" t="s">
        <v>1537</v>
      </c>
      <c r="B769" t="s">
        <v>1538</v>
      </c>
      <c r="C769">
        <v>0</v>
      </c>
      <c r="D769" t="e">
        <f>VLOOKUP(A769,'MusiteDeep-11'!$A$1:$F$124,6,0)</f>
        <v>#N/A</v>
      </c>
    </row>
    <row r="770" spans="1:4" x14ac:dyDescent="0.4">
      <c r="A770" t="s">
        <v>1539</v>
      </c>
      <c r="B770" t="s">
        <v>1540</v>
      </c>
      <c r="C770">
        <v>0</v>
      </c>
      <c r="D770" t="e">
        <f>VLOOKUP(A770,'MusiteDeep-11'!$A$1:$F$124,6,0)</f>
        <v>#N/A</v>
      </c>
    </row>
    <row r="771" spans="1:4" x14ac:dyDescent="0.4">
      <c r="A771" t="s">
        <v>1541</v>
      </c>
      <c r="B771" t="s">
        <v>1542</v>
      </c>
      <c r="C771">
        <v>0</v>
      </c>
      <c r="D771" t="e">
        <f>VLOOKUP(A771,'MusiteDeep-11'!$A$1:$F$124,6,0)</f>
        <v>#N/A</v>
      </c>
    </row>
    <row r="772" spans="1:4" x14ac:dyDescent="0.4">
      <c r="A772" t="s">
        <v>1543</v>
      </c>
      <c r="B772" t="s">
        <v>1544</v>
      </c>
      <c r="C772">
        <v>0</v>
      </c>
      <c r="D772" t="e">
        <f>VLOOKUP(A772,'MusiteDeep-11'!$A$1:$F$124,6,0)</f>
        <v>#N/A</v>
      </c>
    </row>
    <row r="773" spans="1:4" x14ac:dyDescent="0.4">
      <c r="A773" t="s">
        <v>1545</v>
      </c>
      <c r="B773" t="s">
        <v>1546</v>
      </c>
      <c r="C773">
        <v>0</v>
      </c>
      <c r="D773" t="e">
        <f>VLOOKUP(A773,'MusiteDeep-11'!$A$1:$F$124,6,0)</f>
        <v>#N/A</v>
      </c>
    </row>
    <row r="774" spans="1:4" x14ac:dyDescent="0.4">
      <c r="A774" t="s">
        <v>1547</v>
      </c>
      <c r="B774" t="s">
        <v>1548</v>
      </c>
      <c r="C774">
        <v>0</v>
      </c>
      <c r="D774" t="e">
        <f>VLOOKUP(A774,'MusiteDeep-11'!$A$1:$F$124,6,0)</f>
        <v>#N/A</v>
      </c>
    </row>
    <row r="775" spans="1:4" x14ac:dyDescent="0.4">
      <c r="A775" t="s">
        <v>1549</v>
      </c>
      <c r="B775" t="s">
        <v>1550</v>
      </c>
      <c r="C775">
        <v>0</v>
      </c>
      <c r="D775" t="e">
        <f>VLOOKUP(A775,'MusiteDeep-11'!$A$1:$F$124,6,0)</f>
        <v>#N/A</v>
      </c>
    </row>
    <row r="776" spans="1:4" x14ac:dyDescent="0.4">
      <c r="A776" t="s">
        <v>1551</v>
      </c>
      <c r="B776" t="s">
        <v>1552</v>
      </c>
      <c r="C776">
        <v>0</v>
      </c>
      <c r="D776">
        <f>VLOOKUP(A776,'MusiteDeep-11'!$A$1:$F$124,6,0)</f>
        <v>0</v>
      </c>
    </row>
    <row r="777" spans="1:4" x14ac:dyDescent="0.4">
      <c r="A777" t="s">
        <v>1553</v>
      </c>
      <c r="B777" t="s">
        <v>1554</v>
      </c>
      <c r="C777">
        <v>0</v>
      </c>
      <c r="D777" t="e">
        <f>VLOOKUP(A777,'MusiteDeep-11'!$A$1:$F$124,6,0)</f>
        <v>#N/A</v>
      </c>
    </row>
    <row r="778" spans="1:4" x14ac:dyDescent="0.4">
      <c r="A778" t="s">
        <v>1555</v>
      </c>
      <c r="B778" t="s">
        <v>1556</v>
      </c>
      <c r="C778">
        <v>0</v>
      </c>
      <c r="D778">
        <f>VLOOKUP(A778,'MusiteDeep-11'!$A$1:$F$124,6,0)</f>
        <v>0</v>
      </c>
    </row>
    <row r="779" spans="1:4" x14ac:dyDescent="0.4">
      <c r="A779" t="s">
        <v>1557</v>
      </c>
      <c r="B779" t="s">
        <v>1558</v>
      </c>
      <c r="C779">
        <v>0</v>
      </c>
      <c r="D779" t="e">
        <f>VLOOKUP(A779,'MusiteDeep-11'!$A$1:$F$124,6,0)</f>
        <v>#N/A</v>
      </c>
    </row>
    <row r="780" spans="1:4" x14ac:dyDescent="0.4">
      <c r="A780" t="s">
        <v>1559</v>
      </c>
      <c r="B780" t="s">
        <v>1560</v>
      </c>
      <c r="C780">
        <v>0</v>
      </c>
      <c r="D780" t="e">
        <f>VLOOKUP(A780,'MusiteDeep-11'!$A$1:$F$124,6,0)</f>
        <v>#N/A</v>
      </c>
    </row>
    <row r="781" spans="1:4" x14ac:dyDescent="0.4">
      <c r="A781" t="s">
        <v>1561</v>
      </c>
      <c r="B781" t="s">
        <v>1562</v>
      </c>
      <c r="C781">
        <v>0</v>
      </c>
      <c r="D781" t="e">
        <f>VLOOKUP(A781,'MusiteDeep-11'!$A$1:$F$124,6,0)</f>
        <v>#N/A</v>
      </c>
    </row>
    <row r="782" spans="1:4" x14ac:dyDescent="0.4">
      <c r="A782" t="s">
        <v>1563</v>
      </c>
      <c r="B782" t="s">
        <v>1564</v>
      </c>
      <c r="C782">
        <v>0</v>
      </c>
      <c r="D782" t="e">
        <f>VLOOKUP(A782,'MusiteDeep-11'!$A$1:$F$124,6,0)</f>
        <v>#N/A</v>
      </c>
    </row>
    <row r="783" spans="1:4" x14ac:dyDescent="0.4">
      <c r="A783" t="s">
        <v>1565</v>
      </c>
      <c r="B783" t="s">
        <v>1566</v>
      </c>
      <c r="C783">
        <v>0</v>
      </c>
      <c r="D783" t="e">
        <f>VLOOKUP(A783,'MusiteDeep-11'!$A$1:$F$124,6,0)</f>
        <v>#N/A</v>
      </c>
    </row>
    <row r="784" spans="1:4" x14ac:dyDescent="0.4">
      <c r="A784" t="s">
        <v>1567</v>
      </c>
      <c r="B784" t="s">
        <v>1568</v>
      </c>
      <c r="C784">
        <v>0</v>
      </c>
      <c r="D784" t="e">
        <f>VLOOKUP(A784,'MusiteDeep-11'!$A$1:$F$124,6,0)</f>
        <v>#N/A</v>
      </c>
    </row>
    <row r="785" spans="1:4" x14ac:dyDescent="0.4">
      <c r="A785" t="s">
        <v>1569</v>
      </c>
      <c r="B785" t="s">
        <v>1570</v>
      </c>
      <c r="C785">
        <v>0</v>
      </c>
      <c r="D785" t="e">
        <f>VLOOKUP(A785,'MusiteDeep-11'!$A$1:$F$124,6,0)</f>
        <v>#N/A</v>
      </c>
    </row>
    <row r="786" spans="1:4" x14ac:dyDescent="0.4">
      <c r="A786" t="s">
        <v>1571</v>
      </c>
      <c r="B786" t="s">
        <v>1572</v>
      </c>
      <c r="C786">
        <v>0</v>
      </c>
      <c r="D786">
        <f>VLOOKUP(A786,'MusiteDeep-11'!$A$1:$F$124,6,0)</f>
        <v>0</v>
      </c>
    </row>
    <row r="787" spans="1:4" x14ac:dyDescent="0.4">
      <c r="A787" t="s">
        <v>1573</v>
      </c>
      <c r="B787" t="s">
        <v>1574</v>
      </c>
      <c r="C787">
        <v>0</v>
      </c>
      <c r="D787" t="e">
        <f>VLOOKUP(A787,'MusiteDeep-11'!$A$1:$F$124,6,0)</f>
        <v>#N/A</v>
      </c>
    </row>
    <row r="788" spans="1:4" x14ac:dyDescent="0.4">
      <c r="A788" t="s">
        <v>1575</v>
      </c>
      <c r="B788" t="s">
        <v>1576</v>
      </c>
      <c r="C788">
        <v>0</v>
      </c>
      <c r="D788" t="e">
        <f>VLOOKUP(A788,'MusiteDeep-11'!$A$1:$F$124,6,0)</f>
        <v>#N/A</v>
      </c>
    </row>
    <row r="789" spans="1:4" x14ac:dyDescent="0.4">
      <c r="A789" t="s">
        <v>1577</v>
      </c>
      <c r="B789" t="s">
        <v>1578</v>
      </c>
      <c r="C789">
        <v>0</v>
      </c>
      <c r="D789" t="e">
        <f>VLOOKUP(A789,'MusiteDeep-11'!$A$1:$F$124,6,0)</f>
        <v>#N/A</v>
      </c>
    </row>
    <row r="790" spans="1:4" x14ac:dyDescent="0.4">
      <c r="A790" t="s">
        <v>1579</v>
      </c>
      <c r="B790" t="s">
        <v>1580</v>
      </c>
      <c r="C790">
        <v>0</v>
      </c>
      <c r="D790" t="e">
        <f>VLOOKUP(A790,'MusiteDeep-11'!$A$1:$F$124,6,0)</f>
        <v>#N/A</v>
      </c>
    </row>
    <row r="791" spans="1:4" x14ac:dyDescent="0.4">
      <c r="A791" t="s">
        <v>1581</v>
      </c>
      <c r="B791" t="s">
        <v>1582</v>
      </c>
      <c r="C791">
        <v>0</v>
      </c>
      <c r="D791" t="e">
        <f>VLOOKUP(A791,'MusiteDeep-11'!$A$1:$F$124,6,0)</f>
        <v>#N/A</v>
      </c>
    </row>
    <row r="792" spans="1:4" x14ac:dyDescent="0.4">
      <c r="A792" t="s">
        <v>1583</v>
      </c>
      <c r="B792" t="s">
        <v>1584</v>
      </c>
      <c r="C792">
        <v>0</v>
      </c>
      <c r="D792" t="e">
        <f>VLOOKUP(A792,'MusiteDeep-11'!$A$1:$F$124,6,0)</f>
        <v>#N/A</v>
      </c>
    </row>
    <row r="793" spans="1:4" x14ac:dyDescent="0.4">
      <c r="A793" t="s">
        <v>1585</v>
      </c>
      <c r="B793" t="s">
        <v>1586</v>
      </c>
      <c r="C793">
        <v>0</v>
      </c>
      <c r="D793">
        <f>VLOOKUP(A793,'MusiteDeep-11'!$A$1:$F$124,6,0)</f>
        <v>0</v>
      </c>
    </row>
    <row r="794" spans="1:4" x14ac:dyDescent="0.4">
      <c r="A794" t="s">
        <v>1587</v>
      </c>
      <c r="B794" t="s">
        <v>1588</v>
      </c>
      <c r="C794">
        <v>0</v>
      </c>
      <c r="D794" t="e">
        <f>VLOOKUP(A794,'MusiteDeep-11'!$A$1:$F$124,6,0)</f>
        <v>#N/A</v>
      </c>
    </row>
    <row r="795" spans="1:4" x14ac:dyDescent="0.4">
      <c r="A795" t="s">
        <v>1589</v>
      </c>
      <c r="B795" t="s">
        <v>1590</v>
      </c>
      <c r="C795">
        <v>0</v>
      </c>
      <c r="D795" t="e">
        <f>VLOOKUP(A795,'MusiteDeep-11'!$A$1:$F$124,6,0)</f>
        <v>#N/A</v>
      </c>
    </row>
    <row r="796" spans="1:4" x14ac:dyDescent="0.4">
      <c r="A796" t="s">
        <v>1591</v>
      </c>
      <c r="B796" t="s">
        <v>1592</v>
      </c>
      <c r="C796">
        <v>0</v>
      </c>
      <c r="D796" t="e">
        <f>VLOOKUP(A796,'MusiteDeep-11'!$A$1:$F$124,6,0)</f>
        <v>#N/A</v>
      </c>
    </row>
    <row r="797" spans="1:4" x14ac:dyDescent="0.4">
      <c r="A797" t="s">
        <v>1593</v>
      </c>
      <c r="B797" t="s">
        <v>1594</v>
      </c>
      <c r="C797">
        <v>0</v>
      </c>
      <c r="D797" t="e">
        <f>VLOOKUP(A797,'MusiteDeep-11'!$A$1:$F$124,6,0)</f>
        <v>#N/A</v>
      </c>
    </row>
    <row r="798" spans="1:4" x14ac:dyDescent="0.4">
      <c r="A798" t="s">
        <v>1595</v>
      </c>
      <c r="B798" t="s">
        <v>1596</v>
      </c>
      <c r="C798">
        <v>0</v>
      </c>
      <c r="D798" t="e">
        <f>VLOOKUP(A798,'MusiteDeep-11'!$A$1:$F$124,6,0)</f>
        <v>#N/A</v>
      </c>
    </row>
    <row r="799" spans="1:4" x14ac:dyDescent="0.4">
      <c r="A799" t="s">
        <v>1597</v>
      </c>
      <c r="B799" t="s">
        <v>1598</v>
      </c>
      <c r="C799">
        <v>0</v>
      </c>
      <c r="D799" t="e">
        <f>VLOOKUP(A799,'MusiteDeep-11'!$A$1:$F$124,6,0)</f>
        <v>#N/A</v>
      </c>
    </row>
    <row r="800" spans="1:4" x14ac:dyDescent="0.4">
      <c r="A800" t="s">
        <v>1599</v>
      </c>
      <c r="B800" t="s">
        <v>1600</v>
      </c>
      <c r="C800">
        <v>0</v>
      </c>
      <c r="D800" t="e">
        <f>VLOOKUP(A800,'MusiteDeep-11'!$A$1:$F$124,6,0)</f>
        <v>#N/A</v>
      </c>
    </row>
    <row r="801" spans="1:4" x14ac:dyDescent="0.4">
      <c r="A801" t="s">
        <v>1601</v>
      </c>
      <c r="B801" t="s">
        <v>1602</v>
      </c>
      <c r="C801">
        <v>0</v>
      </c>
      <c r="D801" t="e">
        <f>VLOOKUP(A801,'MusiteDeep-11'!$A$1:$F$124,6,0)</f>
        <v>#N/A</v>
      </c>
    </row>
    <row r="802" spans="1:4" x14ac:dyDescent="0.4">
      <c r="A802" t="s">
        <v>1603</v>
      </c>
      <c r="B802" t="s">
        <v>1604</v>
      </c>
      <c r="C802">
        <v>0</v>
      </c>
      <c r="D802" t="e">
        <f>VLOOKUP(A802,'MusiteDeep-11'!$A$1:$F$124,6,0)</f>
        <v>#N/A</v>
      </c>
    </row>
    <row r="803" spans="1:4" x14ac:dyDescent="0.4">
      <c r="A803" t="s">
        <v>1605</v>
      </c>
      <c r="B803" t="s">
        <v>1606</v>
      </c>
      <c r="C803">
        <v>0</v>
      </c>
      <c r="D803" t="e">
        <f>VLOOKUP(A803,'MusiteDeep-11'!$A$1:$F$124,6,0)</f>
        <v>#N/A</v>
      </c>
    </row>
    <row r="804" spans="1:4" x14ac:dyDescent="0.4">
      <c r="A804" t="s">
        <v>1607</v>
      </c>
      <c r="B804" t="s">
        <v>1608</v>
      </c>
      <c r="C804">
        <v>0</v>
      </c>
      <c r="D804" t="e">
        <f>VLOOKUP(A804,'MusiteDeep-11'!$A$1:$F$124,6,0)</f>
        <v>#N/A</v>
      </c>
    </row>
    <row r="805" spans="1:4" x14ac:dyDescent="0.4">
      <c r="A805" t="s">
        <v>1609</v>
      </c>
      <c r="B805" t="s">
        <v>1610</v>
      </c>
      <c r="C805">
        <v>0</v>
      </c>
      <c r="D805">
        <f>VLOOKUP(A805,'MusiteDeep-11'!$A$1:$F$124,6,0)</f>
        <v>0</v>
      </c>
    </row>
    <row r="806" spans="1:4" x14ac:dyDescent="0.4">
      <c r="A806" t="s">
        <v>1611</v>
      </c>
      <c r="B806" t="s">
        <v>1612</v>
      </c>
      <c r="C806">
        <v>0</v>
      </c>
      <c r="D806" t="e">
        <f>VLOOKUP(A806,'MusiteDeep-11'!$A$1:$F$124,6,0)</f>
        <v>#N/A</v>
      </c>
    </row>
    <row r="807" spans="1:4" x14ac:dyDescent="0.4">
      <c r="A807" t="s">
        <v>1613</v>
      </c>
      <c r="B807" t="s">
        <v>1614</v>
      </c>
      <c r="C807">
        <v>0</v>
      </c>
      <c r="D807" t="e">
        <f>VLOOKUP(A807,'MusiteDeep-11'!$A$1:$F$124,6,0)</f>
        <v>#N/A</v>
      </c>
    </row>
    <row r="808" spans="1:4" x14ac:dyDescent="0.4">
      <c r="A808" t="s">
        <v>1615</v>
      </c>
      <c r="B808" t="s">
        <v>1616</v>
      </c>
      <c r="C808">
        <v>0</v>
      </c>
      <c r="D808" t="e">
        <f>VLOOKUP(A808,'MusiteDeep-11'!$A$1:$F$124,6,0)</f>
        <v>#N/A</v>
      </c>
    </row>
    <row r="809" spans="1:4" x14ac:dyDescent="0.4">
      <c r="A809" t="s">
        <v>1617</v>
      </c>
      <c r="B809" t="s">
        <v>1618</v>
      </c>
      <c r="C809">
        <v>0</v>
      </c>
      <c r="D809" t="e">
        <f>VLOOKUP(A809,'MusiteDeep-11'!$A$1:$F$124,6,0)</f>
        <v>#N/A</v>
      </c>
    </row>
    <row r="810" spans="1:4" x14ac:dyDescent="0.4">
      <c r="A810" t="s">
        <v>1619</v>
      </c>
      <c r="B810" t="s">
        <v>1620</v>
      </c>
      <c r="C810">
        <v>0</v>
      </c>
      <c r="D810" t="e">
        <f>VLOOKUP(A810,'MusiteDeep-11'!$A$1:$F$124,6,0)</f>
        <v>#N/A</v>
      </c>
    </row>
    <row r="811" spans="1:4" x14ac:dyDescent="0.4">
      <c r="A811" t="s">
        <v>1621</v>
      </c>
      <c r="B811" t="s">
        <v>1622</v>
      </c>
      <c r="C811">
        <v>0</v>
      </c>
      <c r="D811">
        <f>VLOOKUP(A811,'MusiteDeep-11'!$A$1:$F$124,6,0)</f>
        <v>0</v>
      </c>
    </row>
    <row r="812" spans="1:4" x14ac:dyDescent="0.4">
      <c r="A812" t="s">
        <v>1623</v>
      </c>
      <c r="B812" t="s">
        <v>1624</v>
      </c>
      <c r="C812">
        <v>0</v>
      </c>
      <c r="D812" t="e">
        <f>VLOOKUP(A812,'MusiteDeep-11'!$A$1:$F$124,6,0)</f>
        <v>#N/A</v>
      </c>
    </row>
    <row r="813" spans="1:4" x14ac:dyDescent="0.4">
      <c r="A813" t="s">
        <v>1625</v>
      </c>
      <c r="B813" t="s">
        <v>1626</v>
      </c>
      <c r="C813">
        <v>0</v>
      </c>
      <c r="D813" t="e">
        <f>VLOOKUP(A813,'MusiteDeep-11'!$A$1:$F$124,6,0)</f>
        <v>#N/A</v>
      </c>
    </row>
    <row r="814" spans="1:4" x14ac:dyDescent="0.4">
      <c r="A814" t="s">
        <v>1627</v>
      </c>
      <c r="B814" t="s">
        <v>1628</v>
      </c>
      <c r="C814">
        <v>0</v>
      </c>
      <c r="D814">
        <f>VLOOKUP(A814,'MusiteDeep-11'!$A$1:$F$124,6,0)</f>
        <v>0</v>
      </c>
    </row>
    <row r="815" spans="1:4" x14ac:dyDescent="0.4">
      <c r="A815" t="s">
        <v>1629</v>
      </c>
      <c r="B815" t="s">
        <v>1630</v>
      </c>
      <c r="C815">
        <v>0</v>
      </c>
      <c r="D815" t="e">
        <f>VLOOKUP(A815,'MusiteDeep-11'!$A$1:$F$124,6,0)</f>
        <v>#N/A</v>
      </c>
    </row>
    <row r="816" spans="1:4" x14ac:dyDescent="0.4">
      <c r="A816" t="s">
        <v>1631</v>
      </c>
      <c r="B816" t="s">
        <v>1632</v>
      </c>
      <c r="C816">
        <v>0</v>
      </c>
      <c r="D816">
        <f>VLOOKUP(A816,'MusiteDeep-11'!$A$1:$F$124,6,0)</f>
        <v>0</v>
      </c>
    </row>
    <row r="817" spans="1:4" x14ac:dyDescent="0.4">
      <c r="A817" t="s">
        <v>1633</v>
      </c>
      <c r="B817" t="s">
        <v>1634</v>
      </c>
      <c r="C817">
        <v>0</v>
      </c>
      <c r="D817" t="e">
        <f>VLOOKUP(A817,'MusiteDeep-11'!$A$1:$F$124,6,0)</f>
        <v>#N/A</v>
      </c>
    </row>
    <row r="818" spans="1:4" x14ac:dyDescent="0.4">
      <c r="A818" t="s">
        <v>1635</v>
      </c>
      <c r="B818" t="s">
        <v>1636</v>
      </c>
      <c r="C818">
        <v>0</v>
      </c>
      <c r="D818" t="e">
        <f>VLOOKUP(A818,'MusiteDeep-11'!$A$1:$F$124,6,0)</f>
        <v>#N/A</v>
      </c>
    </row>
    <row r="819" spans="1:4" x14ac:dyDescent="0.4">
      <c r="A819" t="s">
        <v>1637</v>
      </c>
      <c r="B819" t="s">
        <v>1638</v>
      </c>
      <c r="C819">
        <v>0</v>
      </c>
      <c r="D819" t="e">
        <f>VLOOKUP(A819,'MusiteDeep-11'!$A$1:$F$124,6,0)</f>
        <v>#N/A</v>
      </c>
    </row>
    <row r="820" spans="1:4" x14ac:dyDescent="0.4">
      <c r="A820" t="s">
        <v>1639</v>
      </c>
      <c r="B820" t="s">
        <v>1640</v>
      </c>
      <c r="C820">
        <v>0</v>
      </c>
      <c r="D820">
        <f>VLOOKUP(A820,'MusiteDeep-11'!$A$1:$F$124,6,0)</f>
        <v>0</v>
      </c>
    </row>
    <row r="821" spans="1:4" x14ac:dyDescent="0.4">
      <c r="A821" t="s">
        <v>1641</v>
      </c>
      <c r="B821" t="s">
        <v>1642</v>
      </c>
      <c r="C821">
        <v>0</v>
      </c>
      <c r="D821" t="e">
        <f>VLOOKUP(A821,'MusiteDeep-11'!$A$1:$F$124,6,0)</f>
        <v>#N/A</v>
      </c>
    </row>
    <row r="822" spans="1:4" x14ac:dyDescent="0.4">
      <c r="A822" t="s">
        <v>1643</v>
      </c>
      <c r="B822" t="s">
        <v>1644</v>
      </c>
      <c r="C822">
        <v>0</v>
      </c>
      <c r="D822" t="e">
        <f>VLOOKUP(A822,'MusiteDeep-11'!$A$1:$F$124,6,0)</f>
        <v>#N/A</v>
      </c>
    </row>
    <row r="823" spans="1:4" x14ac:dyDescent="0.4">
      <c r="A823" t="s">
        <v>1645</v>
      </c>
      <c r="B823" t="s">
        <v>1646</v>
      </c>
      <c r="C823">
        <v>0</v>
      </c>
      <c r="D823" t="e">
        <f>VLOOKUP(A823,'MusiteDeep-11'!$A$1:$F$124,6,0)</f>
        <v>#N/A</v>
      </c>
    </row>
    <row r="824" spans="1:4" x14ac:dyDescent="0.4">
      <c r="A824" t="s">
        <v>1647</v>
      </c>
      <c r="B824" t="s">
        <v>1648</v>
      </c>
      <c r="C824">
        <v>0</v>
      </c>
      <c r="D824">
        <f>VLOOKUP(A824,'MusiteDeep-11'!$A$1:$F$124,6,0)</f>
        <v>0</v>
      </c>
    </row>
    <row r="825" spans="1:4" x14ac:dyDescent="0.4">
      <c r="A825" t="s">
        <v>1649</v>
      </c>
      <c r="B825" t="s">
        <v>1650</v>
      </c>
      <c r="C825">
        <v>0</v>
      </c>
      <c r="D825" t="e">
        <f>VLOOKUP(A825,'MusiteDeep-11'!$A$1:$F$124,6,0)</f>
        <v>#N/A</v>
      </c>
    </row>
    <row r="826" spans="1:4" x14ac:dyDescent="0.4">
      <c r="A826" t="s">
        <v>1651</v>
      </c>
      <c r="B826" t="s">
        <v>1652</v>
      </c>
      <c r="C826">
        <v>0</v>
      </c>
      <c r="D826" t="e">
        <f>VLOOKUP(A826,'MusiteDeep-11'!$A$1:$F$124,6,0)</f>
        <v>#N/A</v>
      </c>
    </row>
    <row r="827" spans="1:4" x14ac:dyDescent="0.4">
      <c r="A827" t="s">
        <v>1653</v>
      </c>
      <c r="B827" t="s">
        <v>1654</v>
      </c>
      <c r="C827">
        <v>0</v>
      </c>
      <c r="D827" t="e">
        <f>VLOOKUP(A827,'MusiteDeep-11'!$A$1:$F$124,6,0)</f>
        <v>#N/A</v>
      </c>
    </row>
    <row r="828" spans="1:4" x14ac:dyDescent="0.4">
      <c r="A828" t="s">
        <v>1655</v>
      </c>
      <c r="B828" t="s">
        <v>1656</v>
      </c>
      <c r="C828">
        <v>0</v>
      </c>
      <c r="D828" t="e">
        <f>VLOOKUP(A828,'MusiteDeep-11'!$A$1:$F$124,6,0)</f>
        <v>#N/A</v>
      </c>
    </row>
    <row r="829" spans="1:4" x14ac:dyDescent="0.4">
      <c r="A829" t="s">
        <v>1657</v>
      </c>
      <c r="B829" t="s">
        <v>1658</v>
      </c>
      <c r="C829">
        <v>0</v>
      </c>
      <c r="D829" t="e">
        <f>VLOOKUP(A829,'MusiteDeep-11'!$A$1:$F$124,6,0)</f>
        <v>#N/A</v>
      </c>
    </row>
    <row r="830" spans="1:4" x14ac:dyDescent="0.4">
      <c r="A830" t="s">
        <v>1659</v>
      </c>
      <c r="B830" t="s">
        <v>1660</v>
      </c>
      <c r="C830">
        <v>0</v>
      </c>
      <c r="D830" t="e">
        <f>VLOOKUP(A830,'MusiteDeep-11'!$A$1:$F$124,6,0)</f>
        <v>#N/A</v>
      </c>
    </row>
    <row r="831" spans="1:4" x14ac:dyDescent="0.4">
      <c r="A831" t="s">
        <v>1661</v>
      </c>
      <c r="B831" t="s">
        <v>1662</v>
      </c>
      <c r="C831">
        <v>0</v>
      </c>
      <c r="D831" t="e">
        <f>VLOOKUP(A831,'MusiteDeep-11'!$A$1:$F$124,6,0)</f>
        <v>#N/A</v>
      </c>
    </row>
    <row r="832" spans="1:4" x14ac:dyDescent="0.4">
      <c r="A832" t="s">
        <v>1663</v>
      </c>
      <c r="B832" t="s">
        <v>1664</v>
      </c>
      <c r="C832">
        <v>0</v>
      </c>
      <c r="D832" t="e">
        <f>VLOOKUP(A832,'MusiteDeep-11'!$A$1:$F$124,6,0)</f>
        <v>#N/A</v>
      </c>
    </row>
    <row r="833" spans="1:4" x14ac:dyDescent="0.4">
      <c r="A833" t="s">
        <v>1665</v>
      </c>
      <c r="B833" t="s">
        <v>1666</v>
      </c>
      <c r="C833">
        <v>0</v>
      </c>
      <c r="D833" t="e">
        <f>VLOOKUP(A833,'MusiteDeep-11'!$A$1:$F$124,6,0)</f>
        <v>#N/A</v>
      </c>
    </row>
    <row r="834" spans="1:4" x14ac:dyDescent="0.4">
      <c r="A834" t="s">
        <v>1667</v>
      </c>
      <c r="B834" t="s">
        <v>1668</v>
      </c>
      <c r="C834">
        <v>0</v>
      </c>
      <c r="D834" t="e">
        <f>VLOOKUP(A834,'MusiteDeep-11'!$A$1:$F$124,6,0)</f>
        <v>#N/A</v>
      </c>
    </row>
    <row r="835" spans="1:4" x14ac:dyDescent="0.4">
      <c r="A835" t="s">
        <v>1669</v>
      </c>
      <c r="B835" t="s">
        <v>1670</v>
      </c>
      <c r="C835">
        <v>0</v>
      </c>
      <c r="D835" t="e">
        <f>VLOOKUP(A835,'MusiteDeep-11'!$A$1:$F$124,6,0)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89"/>
  <sheetViews>
    <sheetView topLeftCell="A29" workbookViewId="0">
      <selection activeCell="B1" sqref="B1"/>
    </sheetView>
  </sheetViews>
  <sheetFormatPr defaultRowHeight="14.6" x14ac:dyDescent="0.4"/>
  <cols>
    <col min="1" max="1" width="20.3828125" bestFit="1" customWidth="1"/>
    <col min="4" max="4" width="17.53515625" bestFit="1" customWidth="1"/>
  </cols>
  <sheetData>
    <row r="1" spans="1:5" x14ac:dyDescent="0.4">
      <c r="A1" t="s">
        <v>1671</v>
      </c>
      <c r="B1" t="s">
        <v>1672</v>
      </c>
      <c r="C1" t="s">
        <v>1673</v>
      </c>
      <c r="D1" t="s">
        <v>1674</v>
      </c>
      <c r="E1" t="s">
        <v>1675</v>
      </c>
    </row>
    <row r="2" spans="1:5" x14ac:dyDescent="0.4">
      <c r="A2" t="s">
        <v>3</v>
      </c>
      <c r="B2">
        <v>3</v>
      </c>
      <c r="C2" t="s">
        <v>1676</v>
      </c>
      <c r="D2" t="s">
        <v>1677</v>
      </c>
      <c r="E2" t="s">
        <v>1678</v>
      </c>
    </row>
    <row r="3" spans="1:5" x14ac:dyDescent="0.4">
      <c r="A3" t="s">
        <v>3</v>
      </c>
      <c r="B3">
        <v>9</v>
      </c>
      <c r="C3" t="s">
        <v>1676</v>
      </c>
      <c r="D3" t="s">
        <v>1679</v>
      </c>
      <c r="E3" t="s">
        <v>1678</v>
      </c>
    </row>
    <row r="4" spans="1:5" x14ac:dyDescent="0.4">
      <c r="A4" t="s">
        <v>3</v>
      </c>
      <c r="B4">
        <v>19</v>
      </c>
      <c r="C4" t="s">
        <v>1676</v>
      </c>
      <c r="D4" t="s">
        <v>1680</v>
      </c>
      <c r="E4" t="s">
        <v>1678</v>
      </c>
    </row>
    <row r="5" spans="1:5" x14ac:dyDescent="0.4">
      <c r="A5" t="s">
        <v>9</v>
      </c>
      <c r="B5">
        <v>1</v>
      </c>
      <c r="C5" t="s">
        <v>1676</v>
      </c>
      <c r="D5" t="s">
        <v>1681</v>
      </c>
      <c r="E5" t="s">
        <v>1678</v>
      </c>
    </row>
    <row r="6" spans="1:5" x14ac:dyDescent="0.4">
      <c r="A6" t="s">
        <v>9</v>
      </c>
      <c r="B6">
        <v>14</v>
      </c>
      <c r="C6" t="s">
        <v>1676</v>
      </c>
      <c r="D6" t="s">
        <v>1682</v>
      </c>
      <c r="E6" t="s">
        <v>1678</v>
      </c>
    </row>
    <row r="7" spans="1:5" x14ac:dyDescent="0.4">
      <c r="A7" t="s">
        <v>11</v>
      </c>
      <c r="B7">
        <v>4</v>
      </c>
      <c r="C7" t="s">
        <v>1676</v>
      </c>
      <c r="D7" t="s">
        <v>1683</v>
      </c>
      <c r="E7" t="s">
        <v>1678</v>
      </c>
    </row>
    <row r="8" spans="1:5" x14ac:dyDescent="0.4">
      <c r="A8" t="s">
        <v>11</v>
      </c>
      <c r="B8">
        <v>11</v>
      </c>
      <c r="C8" t="s">
        <v>1676</v>
      </c>
      <c r="D8" t="s">
        <v>1684</v>
      </c>
      <c r="E8" t="s">
        <v>1678</v>
      </c>
    </row>
    <row r="9" spans="1:5" x14ac:dyDescent="0.4">
      <c r="A9" t="s">
        <v>11</v>
      </c>
      <c r="B9">
        <v>20</v>
      </c>
      <c r="C9" t="s">
        <v>1676</v>
      </c>
      <c r="D9" t="s">
        <v>1685</v>
      </c>
      <c r="E9" t="s">
        <v>1678</v>
      </c>
    </row>
    <row r="10" spans="1:5" x14ac:dyDescent="0.4">
      <c r="A10" t="s">
        <v>13</v>
      </c>
      <c r="B10">
        <v>17</v>
      </c>
      <c r="C10" t="s">
        <v>1676</v>
      </c>
      <c r="D10" t="s">
        <v>1686</v>
      </c>
      <c r="E10" t="s">
        <v>1686</v>
      </c>
    </row>
    <row r="11" spans="1:5" x14ac:dyDescent="0.4">
      <c r="A11" t="s">
        <v>19</v>
      </c>
      <c r="B11">
        <v>4</v>
      </c>
      <c r="C11" t="s">
        <v>1676</v>
      </c>
      <c r="D11" t="s">
        <v>1687</v>
      </c>
      <c r="E11" t="s">
        <v>1678</v>
      </c>
    </row>
    <row r="12" spans="1:5" x14ac:dyDescent="0.4">
      <c r="A12" t="s">
        <v>19</v>
      </c>
      <c r="B12">
        <v>9</v>
      </c>
      <c r="C12" t="s">
        <v>1676</v>
      </c>
      <c r="D12" t="s">
        <v>1688</v>
      </c>
      <c r="E12" t="s">
        <v>1678</v>
      </c>
    </row>
    <row r="13" spans="1:5" x14ac:dyDescent="0.4">
      <c r="A13" t="s">
        <v>19</v>
      </c>
      <c r="B13">
        <v>14</v>
      </c>
      <c r="C13" t="s">
        <v>1676</v>
      </c>
      <c r="D13" t="s">
        <v>1689</v>
      </c>
      <c r="E13" t="s">
        <v>1678</v>
      </c>
    </row>
    <row r="14" spans="1:5" x14ac:dyDescent="0.4">
      <c r="A14" t="s">
        <v>19</v>
      </c>
      <c r="B14">
        <v>19</v>
      </c>
      <c r="C14" t="s">
        <v>1676</v>
      </c>
      <c r="D14" t="s">
        <v>1690</v>
      </c>
      <c r="E14" t="s">
        <v>1678</v>
      </c>
    </row>
    <row r="15" spans="1:5" x14ac:dyDescent="0.4">
      <c r="A15" t="s">
        <v>21</v>
      </c>
      <c r="B15">
        <v>1</v>
      </c>
      <c r="C15" t="s">
        <v>1676</v>
      </c>
      <c r="D15" t="s">
        <v>1691</v>
      </c>
      <c r="E15" t="s">
        <v>1678</v>
      </c>
    </row>
    <row r="16" spans="1:5" x14ac:dyDescent="0.4">
      <c r="A16" t="s">
        <v>23</v>
      </c>
      <c r="B16">
        <v>19</v>
      </c>
      <c r="C16" t="s">
        <v>1676</v>
      </c>
      <c r="D16" t="s">
        <v>1692</v>
      </c>
      <c r="E16" t="s">
        <v>1678</v>
      </c>
    </row>
    <row r="17" spans="1:5" x14ac:dyDescent="0.4">
      <c r="A17" t="s">
        <v>25</v>
      </c>
      <c r="B17">
        <v>2</v>
      </c>
      <c r="C17" t="s">
        <v>1676</v>
      </c>
      <c r="D17" t="s">
        <v>1693</v>
      </c>
      <c r="E17" t="s">
        <v>1678</v>
      </c>
    </row>
    <row r="18" spans="1:5" x14ac:dyDescent="0.4">
      <c r="A18" t="s">
        <v>29</v>
      </c>
      <c r="B18">
        <v>18</v>
      </c>
      <c r="C18" t="s">
        <v>1676</v>
      </c>
      <c r="D18" t="s">
        <v>1694</v>
      </c>
      <c r="E18" t="s">
        <v>1678</v>
      </c>
    </row>
    <row r="19" spans="1:5" x14ac:dyDescent="0.4">
      <c r="A19" t="s">
        <v>31</v>
      </c>
      <c r="B19">
        <v>2</v>
      </c>
      <c r="C19" t="s">
        <v>1676</v>
      </c>
      <c r="D19" t="s">
        <v>1695</v>
      </c>
      <c r="E19" t="s">
        <v>1695</v>
      </c>
    </row>
    <row r="20" spans="1:5" x14ac:dyDescent="0.4">
      <c r="A20" t="s">
        <v>31</v>
      </c>
      <c r="B20">
        <v>13</v>
      </c>
      <c r="C20" t="s">
        <v>1676</v>
      </c>
      <c r="D20" t="s">
        <v>1696</v>
      </c>
      <c r="E20" t="s">
        <v>1678</v>
      </c>
    </row>
    <row r="21" spans="1:5" x14ac:dyDescent="0.4">
      <c r="A21" t="s">
        <v>31</v>
      </c>
      <c r="B21">
        <v>17</v>
      </c>
      <c r="C21" t="s">
        <v>1676</v>
      </c>
      <c r="D21" t="s">
        <v>1697</v>
      </c>
      <c r="E21" t="s">
        <v>1697</v>
      </c>
    </row>
    <row r="22" spans="1:5" x14ac:dyDescent="0.4">
      <c r="A22" t="s">
        <v>35</v>
      </c>
      <c r="B22">
        <v>6</v>
      </c>
      <c r="C22" t="s">
        <v>1676</v>
      </c>
      <c r="D22" t="s">
        <v>1698</v>
      </c>
      <c r="E22" t="s">
        <v>1678</v>
      </c>
    </row>
    <row r="23" spans="1:5" x14ac:dyDescent="0.4">
      <c r="A23" t="s">
        <v>35</v>
      </c>
      <c r="B23">
        <v>10</v>
      </c>
      <c r="C23" t="s">
        <v>1676</v>
      </c>
      <c r="D23" t="s">
        <v>1699</v>
      </c>
      <c r="E23" t="s">
        <v>1678</v>
      </c>
    </row>
    <row r="24" spans="1:5" x14ac:dyDescent="0.4">
      <c r="A24" t="s">
        <v>35</v>
      </c>
      <c r="B24">
        <v>16</v>
      </c>
      <c r="C24" t="s">
        <v>1676</v>
      </c>
      <c r="D24" t="s">
        <v>1700</v>
      </c>
      <c r="E24" t="s">
        <v>1678</v>
      </c>
    </row>
    <row r="25" spans="1:5" x14ac:dyDescent="0.4">
      <c r="A25" t="s">
        <v>35</v>
      </c>
      <c r="B25">
        <v>20</v>
      </c>
      <c r="C25" t="s">
        <v>1676</v>
      </c>
      <c r="D25" t="s">
        <v>1699</v>
      </c>
      <c r="E25" t="s">
        <v>1678</v>
      </c>
    </row>
    <row r="26" spans="1:5" x14ac:dyDescent="0.4">
      <c r="A26" t="s">
        <v>37</v>
      </c>
      <c r="B26">
        <v>20</v>
      </c>
      <c r="C26" t="s">
        <v>1676</v>
      </c>
      <c r="D26" t="s">
        <v>1701</v>
      </c>
      <c r="E26" t="s">
        <v>1678</v>
      </c>
    </row>
    <row r="27" spans="1:5" x14ac:dyDescent="0.4">
      <c r="A27" t="s">
        <v>41</v>
      </c>
      <c r="B27">
        <v>5</v>
      </c>
      <c r="C27" t="s">
        <v>1676</v>
      </c>
      <c r="D27" t="s">
        <v>1702</v>
      </c>
      <c r="E27" t="s">
        <v>1678</v>
      </c>
    </row>
    <row r="28" spans="1:5" x14ac:dyDescent="0.4">
      <c r="A28" t="s">
        <v>45</v>
      </c>
      <c r="B28">
        <v>1</v>
      </c>
      <c r="C28" t="s">
        <v>1676</v>
      </c>
      <c r="D28" t="s">
        <v>1677</v>
      </c>
      <c r="E28" t="s">
        <v>1678</v>
      </c>
    </row>
    <row r="29" spans="1:5" x14ac:dyDescent="0.4">
      <c r="A29" t="s">
        <v>45</v>
      </c>
      <c r="B29">
        <v>5</v>
      </c>
      <c r="C29" t="s">
        <v>1676</v>
      </c>
      <c r="D29" t="s">
        <v>1690</v>
      </c>
      <c r="E29" t="s">
        <v>1678</v>
      </c>
    </row>
    <row r="30" spans="1:5" x14ac:dyDescent="0.4">
      <c r="A30" t="s">
        <v>45</v>
      </c>
      <c r="B30">
        <v>13</v>
      </c>
      <c r="C30" t="s">
        <v>1676</v>
      </c>
      <c r="D30" t="s">
        <v>1703</v>
      </c>
      <c r="E30" t="s">
        <v>1678</v>
      </c>
    </row>
    <row r="31" spans="1:5" x14ac:dyDescent="0.4">
      <c r="A31" t="s">
        <v>45</v>
      </c>
      <c r="B31">
        <v>17</v>
      </c>
      <c r="C31" t="s">
        <v>1676</v>
      </c>
      <c r="D31" t="s">
        <v>1704</v>
      </c>
      <c r="E31" t="s">
        <v>1678</v>
      </c>
    </row>
    <row r="32" spans="1:5" x14ac:dyDescent="0.4">
      <c r="A32" t="s">
        <v>49</v>
      </c>
      <c r="B32">
        <v>16</v>
      </c>
      <c r="C32" t="s">
        <v>1676</v>
      </c>
      <c r="D32" t="s">
        <v>1705</v>
      </c>
      <c r="E32" t="s">
        <v>1678</v>
      </c>
    </row>
    <row r="33" spans="1:5" x14ac:dyDescent="0.4">
      <c r="A33" t="s">
        <v>51</v>
      </c>
      <c r="B33">
        <v>9</v>
      </c>
      <c r="C33" t="s">
        <v>1676</v>
      </c>
      <c r="D33" t="s">
        <v>1706</v>
      </c>
      <c r="E33" t="s">
        <v>1678</v>
      </c>
    </row>
    <row r="34" spans="1:5" x14ac:dyDescent="0.4">
      <c r="A34" t="s">
        <v>51</v>
      </c>
      <c r="B34">
        <v>13</v>
      </c>
      <c r="C34" t="s">
        <v>1676</v>
      </c>
      <c r="D34" t="s">
        <v>1707</v>
      </c>
      <c r="E34" t="s">
        <v>1678</v>
      </c>
    </row>
    <row r="35" spans="1:5" x14ac:dyDescent="0.4">
      <c r="A35" t="s">
        <v>51</v>
      </c>
      <c r="B35">
        <v>16</v>
      </c>
      <c r="C35" t="s">
        <v>1676</v>
      </c>
      <c r="D35" t="s">
        <v>1708</v>
      </c>
      <c r="E35" t="s">
        <v>1678</v>
      </c>
    </row>
    <row r="36" spans="1:5" x14ac:dyDescent="0.4">
      <c r="A36" t="s">
        <v>51</v>
      </c>
      <c r="B36">
        <v>17</v>
      </c>
      <c r="C36" t="s">
        <v>1676</v>
      </c>
      <c r="D36" t="s">
        <v>1709</v>
      </c>
      <c r="E36" t="s">
        <v>1678</v>
      </c>
    </row>
    <row r="37" spans="1:5" x14ac:dyDescent="0.4">
      <c r="A37" t="s">
        <v>51</v>
      </c>
      <c r="B37">
        <v>20</v>
      </c>
      <c r="C37" t="s">
        <v>1676</v>
      </c>
      <c r="D37" t="s">
        <v>1710</v>
      </c>
      <c r="E37" t="s">
        <v>1678</v>
      </c>
    </row>
    <row r="38" spans="1:5" x14ac:dyDescent="0.4">
      <c r="A38" t="s">
        <v>55</v>
      </c>
      <c r="B38">
        <v>21</v>
      </c>
      <c r="C38" t="s">
        <v>1676</v>
      </c>
      <c r="D38" t="s">
        <v>1711</v>
      </c>
      <c r="E38" t="s">
        <v>1678</v>
      </c>
    </row>
    <row r="39" spans="1:5" x14ac:dyDescent="0.4">
      <c r="A39" t="s">
        <v>59</v>
      </c>
      <c r="B39">
        <v>2</v>
      </c>
      <c r="C39" t="s">
        <v>1676</v>
      </c>
      <c r="D39" t="s">
        <v>1712</v>
      </c>
      <c r="E39" t="s">
        <v>1712</v>
      </c>
    </row>
    <row r="40" spans="1:5" x14ac:dyDescent="0.4">
      <c r="A40" t="s">
        <v>59</v>
      </c>
      <c r="B40">
        <v>5</v>
      </c>
      <c r="C40" t="s">
        <v>1676</v>
      </c>
      <c r="D40" t="s">
        <v>1713</v>
      </c>
      <c r="E40" t="s">
        <v>1713</v>
      </c>
    </row>
    <row r="41" spans="1:5" x14ac:dyDescent="0.4">
      <c r="A41" t="s">
        <v>59</v>
      </c>
      <c r="B41">
        <v>9</v>
      </c>
      <c r="C41" t="s">
        <v>1676</v>
      </c>
      <c r="D41" t="s">
        <v>1714</v>
      </c>
      <c r="E41" t="s">
        <v>1714</v>
      </c>
    </row>
    <row r="42" spans="1:5" x14ac:dyDescent="0.4">
      <c r="A42" t="s">
        <v>59</v>
      </c>
      <c r="B42">
        <v>13</v>
      </c>
      <c r="C42" t="s">
        <v>1676</v>
      </c>
      <c r="D42" t="s">
        <v>1715</v>
      </c>
      <c r="E42" t="s">
        <v>1715</v>
      </c>
    </row>
    <row r="43" spans="1:5" x14ac:dyDescent="0.4">
      <c r="A43" t="s">
        <v>59</v>
      </c>
      <c r="B43">
        <v>15</v>
      </c>
      <c r="C43" t="s">
        <v>1676</v>
      </c>
      <c r="D43" t="s">
        <v>1716</v>
      </c>
      <c r="E43" t="s">
        <v>1716</v>
      </c>
    </row>
    <row r="44" spans="1:5" x14ac:dyDescent="0.4">
      <c r="A44" t="s">
        <v>59</v>
      </c>
      <c r="B44">
        <v>19</v>
      </c>
      <c r="C44" t="s">
        <v>1676</v>
      </c>
      <c r="D44" t="s">
        <v>1717</v>
      </c>
      <c r="E44" t="s">
        <v>1717</v>
      </c>
    </row>
    <row r="45" spans="1:5" x14ac:dyDescent="0.4">
      <c r="A45" t="s">
        <v>63</v>
      </c>
      <c r="B45">
        <v>2</v>
      </c>
      <c r="C45" t="s">
        <v>1676</v>
      </c>
      <c r="D45" t="s">
        <v>1705</v>
      </c>
      <c r="E45" t="s">
        <v>1678</v>
      </c>
    </row>
    <row r="46" spans="1:5" x14ac:dyDescent="0.4">
      <c r="A46" t="s">
        <v>63</v>
      </c>
      <c r="B46">
        <v>6</v>
      </c>
      <c r="C46" t="s">
        <v>1676</v>
      </c>
      <c r="D46" t="s">
        <v>1718</v>
      </c>
      <c r="E46" t="s">
        <v>1678</v>
      </c>
    </row>
    <row r="47" spans="1:5" x14ac:dyDescent="0.4">
      <c r="A47" t="s">
        <v>63</v>
      </c>
      <c r="B47">
        <v>14</v>
      </c>
      <c r="C47" t="s">
        <v>1676</v>
      </c>
      <c r="D47" t="s">
        <v>1719</v>
      </c>
      <c r="E47" t="s">
        <v>1678</v>
      </c>
    </row>
    <row r="48" spans="1:5" x14ac:dyDescent="0.4">
      <c r="A48" t="s">
        <v>63</v>
      </c>
      <c r="B48">
        <v>18</v>
      </c>
      <c r="C48" t="s">
        <v>1676</v>
      </c>
      <c r="D48" t="s">
        <v>1720</v>
      </c>
      <c r="E48" t="s">
        <v>1678</v>
      </c>
    </row>
    <row r="49" spans="1:5" x14ac:dyDescent="0.4">
      <c r="A49" t="s">
        <v>65</v>
      </c>
      <c r="B49">
        <v>14</v>
      </c>
      <c r="C49" t="s">
        <v>1676</v>
      </c>
      <c r="D49" t="s">
        <v>1720</v>
      </c>
      <c r="E49" t="s">
        <v>1678</v>
      </c>
    </row>
    <row r="50" spans="1:5" x14ac:dyDescent="0.4">
      <c r="A50" t="s">
        <v>67</v>
      </c>
      <c r="B50">
        <v>2</v>
      </c>
      <c r="C50" t="s">
        <v>1676</v>
      </c>
      <c r="D50" t="s">
        <v>1721</v>
      </c>
      <c r="E50" t="s">
        <v>1678</v>
      </c>
    </row>
    <row r="51" spans="1:5" x14ac:dyDescent="0.4">
      <c r="A51" t="s">
        <v>69</v>
      </c>
      <c r="B51">
        <v>7</v>
      </c>
      <c r="C51" t="s">
        <v>1676</v>
      </c>
      <c r="D51" t="s">
        <v>1722</v>
      </c>
      <c r="E51" t="s">
        <v>1678</v>
      </c>
    </row>
    <row r="52" spans="1:5" x14ac:dyDescent="0.4">
      <c r="A52" t="s">
        <v>69</v>
      </c>
      <c r="B52">
        <v>15</v>
      </c>
      <c r="C52" t="s">
        <v>1676</v>
      </c>
      <c r="D52" t="s">
        <v>1723</v>
      </c>
      <c r="E52" t="s">
        <v>1678</v>
      </c>
    </row>
    <row r="53" spans="1:5" x14ac:dyDescent="0.4">
      <c r="A53" t="s">
        <v>69</v>
      </c>
      <c r="B53">
        <v>19</v>
      </c>
      <c r="C53" t="s">
        <v>1676</v>
      </c>
      <c r="D53" t="s">
        <v>1724</v>
      </c>
      <c r="E53" t="s">
        <v>1678</v>
      </c>
    </row>
    <row r="54" spans="1:5" x14ac:dyDescent="0.4">
      <c r="A54" t="s">
        <v>71</v>
      </c>
      <c r="B54">
        <v>2</v>
      </c>
      <c r="C54" t="s">
        <v>1676</v>
      </c>
      <c r="D54" t="s">
        <v>1683</v>
      </c>
      <c r="E54" t="s">
        <v>1678</v>
      </c>
    </row>
    <row r="55" spans="1:5" x14ac:dyDescent="0.4">
      <c r="A55" t="s">
        <v>73</v>
      </c>
      <c r="B55">
        <v>8</v>
      </c>
      <c r="C55" t="s">
        <v>1676</v>
      </c>
      <c r="D55" t="s">
        <v>1696</v>
      </c>
      <c r="E55" t="s">
        <v>1678</v>
      </c>
    </row>
    <row r="56" spans="1:5" x14ac:dyDescent="0.4">
      <c r="A56" t="s">
        <v>73</v>
      </c>
      <c r="B56">
        <v>11</v>
      </c>
      <c r="C56" t="s">
        <v>1676</v>
      </c>
      <c r="D56" t="s">
        <v>1683</v>
      </c>
      <c r="E56" t="s">
        <v>1678</v>
      </c>
    </row>
    <row r="57" spans="1:5" x14ac:dyDescent="0.4">
      <c r="A57" t="s">
        <v>73</v>
      </c>
      <c r="B57">
        <v>19</v>
      </c>
      <c r="C57" t="s">
        <v>1676</v>
      </c>
      <c r="D57" t="s">
        <v>1725</v>
      </c>
      <c r="E57" t="s">
        <v>1678</v>
      </c>
    </row>
    <row r="58" spans="1:5" x14ac:dyDescent="0.4">
      <c r="A58" t="s">
        <v>79</v>
      </c>
      <c r="B58">
        <v>16</v>
      </c>
      <c r="C58" t="s">
        <v>1676</v>
      </c>
      <c r="D58" t="s">
        <v>1726</v>
      </c>
      <c r="E58" t="s">
        <v>1678</v>
      </c>
    </row>
    <row r="59" spans="1:5" x14ac:dyDescent="0.4">
      <c r="A59" t="s">
        <v>83</v>
      </c>
      <c r="B59">
        <v>8</v>
      </c>
      <c r="C59" t="s">
        <v>1676</v>
      </c>
      <c r="D59" t="s">
        <v>1727</v>
      </c>
      <c r="E59" t="s">
        <v>1727</v>
      </c>
    </row>
    <row r="60" spans="1:5" x14ac:dyDescent="0.4">
      <c r="A60" t="s">
        <v>83</v>
      </c>
      <c r="B60">
        <v>11</v>
      </c>
      <c r="C60" t="s">
        <v>1676</v>
      </c>
      <c r="D60" t="s">
        <v>1728</v>
      </c>
      <c r="E60" t="s">
        <v>1728</v>
      </c>
    </row>
    <row r="61" spans="1:5" x14ac:dyDescent="0.4">
      <c r="A61" t="s">
        <v>85</v>
      </c>
      <c r="B61">
        <v>11</v>
      </c>
      <c r="C61" t="s">
        <v>1676</v>
      </c>
      <c r="D61" t="s">
        <v>1729</v>
      </c>
      <c r="E61" t="s">
        <v>1729</v>
      </c>
    </row>
    <row r="62" spans="1:5" x14ac:dyDescent="0.4">
      <c r="A62" t="s">
        <v>91</v>
      </c>
      <c r="B62">
        <v>11</v>
      </c>
      <c r="C62" t="s">
        <v>1676</v>
      </c>
      <c r="D62" t="s">
        <v>1730</v>
      </c>
      <c r="E62" t="s">
        <v>1730</v>
      </c>
    </row>
    <row r="63" spans="1:5" x14ac:dyDescent="0.4">
      <c r="A63" t="s">
        <v>93</v>
      </c>
      <c r="B63">
        <v>17</v>
      </c>
      <c r="C63" t="s">
        <v>1676</v>
      </c>
      <c r="D63" t="s">
        <v>1731</v>
      </c>
      <c r="E63" t="s">
        <v>1731</v>
      </c>
    </row>
    <row r="64" spans="1:5" x14ac:dyDescent="0.4">
      <c r="A64" t="s">
        <v>95</v>
      </c>
      <c r="B64">
        <v>8</v>
      </c>
      <c r="C64" t="s">
        <v>1676</v>
      </c>
      <c r="D64" t="s">
        <v>1732</v>
      </c>
      <c r="E64" t="s">
        <v>1678</v>
      </c>
    </row>
    <row r="65" spans="1:5" x14ac:dyDescent="0.4">
      <c r="A65" t="s">
        <v>95</v>
      </c>
      <c r="B65">
        <v>11</v>
      </c>
      <c r="C65" t="s">
        <v>1676</v>
      </c>
      <c r="D65" t="s">
        <v>1733</v>
      </c>
      <c r="E65" t="s">
        <v>1678</v>
      </c>
    </row>
    <row r="66" spans="1:5" x14ac:dyDescent="0.4">
      <c r="A66" t="s">
        <v>97</v>
      </c>
      <c r="B66">
        <v>7</v>
      </c>
      <c r="C66" t="s">
        <v>1676</v>
      </c>
      <c r="D66" t="s">
        <v>1693</v>
      </c>
      <c r="E66" t="s">
        <v>1678</v>
      </c>
    </row>
    <row r="67" spans="1:5" x14ac:dyDescent="0.4">
      <c r="A67" t="s">
        <v>97</v>
      </c>
      <c r="B67">
        <v>19</v>
      </c>
      <c r="C67" t="s">
        <v>1676</v>
      </c>
      <c r="D67" t="s">
        <v>1734</v>
      </c>
      <c r="E67" t="s">
        <v>1678</v>
      </c>
    </row>
    <row r="68" spans="1:5" x14ac:dyDescent="0.4">
      <c r="A68" t="s">
        <v>99</v>
      </c>
      <c r="B68">
        <v>2</v>
      </c>
      <c r="C68" t="s">
        <v>1676</v>
      </c>
      <c r="D68" t="s">
        <v>1735</v>
      </c>
      <c r="E68" t="s">
        <v>1678</v>
      </c>
    </row>
    <row r="69" spans="1:5" x14ac:dyDescent="0.4">
      <c r="A69" t="s">
        <v>99</v>
      </c>
      <c r="B69">
        <v>6</v>
      </c>
      <c r="C69" t="s">
        <v>1676</v>
      </c>
      <c r="D69" t="s">
        <v>1708</v>
      </c>
      <c r="E69" t="s">
        <v>1678</v>
      </c>
    </row>
    <row r="70" spans="1:5" x14ac:dyDescent="0.4">
      <c r="A70" t="s">
        <v>99</v>
      </c>
      <c r="B70">
        <v>12</v>
      </c>
      <c r="C70" t="s">
        <v>1676</v>
      </c>
      <c r="D70" t="s">
        <v>1736</v>
      </c>
      <c r="E70" t="s">
        <v>1678</v>
      </c>
    </row>
    <row r="71" spans="1:5" x14ac:dyDescent="0.4">
      <c r="A71" t="s">
        <v>101</v>
      </c>
      <c r="B71">
        <v>11</v>
      </c>
      <c r="C71" t="s">
        <v>1676</v>
      </c>
      <c r="D71" t="s">
        <v>1688</v>
      </c>
      <c r="E71" t="s">
        <v>1678</v>
      </c>
    </row>
    <row r="72" spans="1:5" x14ac:dyDescent="0.4">
      <c r="A72" t="s">
        <v>103</v>
      </c>
      <c r="B72">
        <v>5</v>
      </c>
      <c r="C72" t="s">
        <v>1676</v>
      </c>
      <c r="D72" t="s">
        <v>1737</v>
      </c>
      <c r="E72" t="s">
        <v>1678</v>
      </c>
    </row>
    <row r="73" spans="1:5" x14ac:dyDescent="0.4">
      <c r="A73" t="s">
        <v>103</v>
      </c>
      <c r="B73">
        <v>16</v>
      </c>
      <c r="C73" t="s">
        <v>1676</v>
      </c>
      <c r="D73" t="s">
        <v>1738</v>
      </c>
      <c r="E73" t="s">
        <v>1678</v>
      </c>
    </row>
    <row r="74" spans="1:5" x14ac:dyDescent="0.4">
      <c r="A74" t="s">
        <v>105</v>
      </c>
      <c r="B74">
        <v>20</v>
      </c>
      <c r="C74" t="s">
        <v>1676</v>
      </c>
      <c r="D74" t="s">
        <v>1739</v>
      </c>
      <c r="E74" t="s">
        <v>1678</v>
      </c>
    </row>
    <row r="75" spans="1:5" x14ac:dyDescent="0.4">
      <c r="A75" t="s">
        <v>109</v>
      </c>
      <c r="B75">
        <v>1</v>
      </c>
      <c r="C75" t="s">
        <v>1676</v>
      </c>
      <c r="D75" t="s">
        <v>1740</v>
      </c>
      <c r="E75" t="s">
        <v>1678</v>
      </c>
    </row>
    <row r="76" spans="1:5" x14ac:dyDescent="0.4">
      <c r="A76" t="s">
        <v>109</v>
      </c>
      <c r="B76">
        <v>9</v>
      </c>
      <c r="C76" t="s">
        <v>1676</v>
      </c>
      <c r="D76" t="s">
        <v>1691</v>
      </c>
      <c r="E76" t="s">
        <v>1678</v>
      </c>
    </row>
    <row r="77" spans="1:5" x14ac:dyDescent="0.4">
      <c r="A77" t="s">
        <v>109</v>
      </c>
      <c r="B77">
        <v>13</v>
      </c>
      <c r="C77" t="s">
        <v>1676</v>
      </c>
      <c r="D77" t="s">
        <v>1690</v>
      </c>
      <c r="E77" t="s">
        <v>1678</v>
      </c>
    </row>
    <row r="78" spans="1:5" x14ac:dyDescent="0.4">
      <c r="A78" t="s">
        <v>109</v>
      </c>
      <c r="B78">
        <v>17</v>
      </c>
      <c r="C78" t="s">
        <v>1676</v>
      </c>
      <c r="D78" t="s">
        <v>1690</v>
      </c>
      <c r="E78" t="s">
        <v>1678</v>
      </c>
    </row>
    <row r="79" spans="1:5" x14ac:dyDescent="0.4">
      <c r="A79" t="s">
        <v>109</v>
      </c>
      <c r="B79">
        <v>21</v>
      </c>
      <c r="C79" t="s">
        <v>1676</v>
      </c>
      <c r="D79" t="s">
        <v>1719</v>
      </c>
      <c r="E79" t="s">
        <v>1678</v>
      </c>
    </row>
    <row r="80" spans="1:5" x14ac:dyDescent="0.4">
      <c r="A80" t="s">
        <v>113</v>
      </c>
      <c r="B80">
        <v>20</v>
      </c>
      <c r="C80" t="s">
        <v>1676</v>
      </c>
      <c r="D80" t="s">
        <v>1741</v>
      </c>
      <c r="E80" t="s">
        <v>1678</v>
      </c>
    </row>
    <row r="81" spans="1:5" x14ac:dyDescent="0.4">
      <c r="A81" t="s">
        <v>115</v>
      </c>
      <c r="B81">
        <v>13</v>
      </c>
      <c r="C81" t="s">
        <v>1676</v>
      </c>
      <c r="D81" t="s">
        <v>1742</v>
      </c>
      <c r="E81" t="s">
        <v>1678</v>
      </c>
    </row>
    <row r="82" spans="1:5" x14ac:dyDescent="0.4">
      <c r="A82" t="s">
        <v>115</v>
      </c>
      <c r="B82">
        <v>20</v>
      </c>
      <c r="C82" t="s">
        <v>1676</v>
      </c>
      <c r="D82" t="s">
        <v>1743</v>
      </c>
      <c r="E82" t="s">
        <v>1678</v>
      </c>
    </row>
    <row r="83" spans="1:5" x14ac:dyDescent="0.4">
      <c r="A83" t="s">
        <v>119</v>
      </c>
      <c r="B83">
        <v>16</v>
      </c>
      <c r="C83" t="s">
        <v>1676</v>
      </c>
      <c r="D83" t="s">
        <v>1699</v>
      </c>
      <c r="E83" t="s">
        <v>1678</v>
      </c>
    </row>
    <row r="84" spans="1:5" x14ac:dyDescent="0.4">
      <c r="A84" t="s">
        <v>119</v>
      </c>
      <c r="B84">
        <v>20</v>
      </c>
      <c r="C84" t="s">
        <v>1676</v>
      </c>
      <c r="D84" t="s">
        <v>1692</v>
      </c>
      <c r="E84" t="s">
        <v>1678</v>
      </c>
    </row>
    <row r="85" spans="1:5" x14ac:dyDescent="0.4">
      <c r="A85" t="s">
        <v>121</v>
      </c>
      <c r="B85">
        <v>10</v>
      </c>
      <c r="C85" t="s">
        <v>1676</v>
      </c>
      <c r="D85" t="s">
        <v>1744</v>
      </c>
      <c r="E85" t="s">
        <v>1678</v>
      </c>
    </row>
    <row r="86" spans="1:5" x14ac:dyDescent="0.4">
      <c r="A86" t="s">
        <v>125</v>
      </c>
      <c r="B86">
        <v>6</v>
      </c>
      <c r="C86" t="s">
        <v>1676</v>
      </c>
      <c r="D86" t="s">
        <v>1745</v>
      </c>
      <c r="E86" t="s">
        <v>1678</v>
      </c>
    </row>
    <row r="87" spans="1:5" x14ac:dyDescent="0.4">
      <c r="A87" t="s">
        <v>125</v>
      </c>
      <c r="B87">
        <v>15</v>
      </c>
      <c r="C87" t="s">
        <v>1676</v>
      </c>
      <c r="D87" t="s">
        <v>1746</v>
      </c>
      <c r="E87" t="s">
        <v>1678</v>
      </c>
    </row>
    <row r="88" spans="1:5" x14ac:dyDescent="0.4">
      <c r="A88" t="s">
        <v>135</v>
      </c>
      <c r="B88">
        <v>19</v>
      </c>
      <c r="C88" t="s">
        <v>1676</v>
      </c>
      <c r="D88" t="s">
        <v>1691</v>
      </c>
      <c r="E88" t="s">
        <v>1678</v>
      </c>
    </row>
    <row r="89" spans="1:5" x14ac:dyDescent="0.4">
      <c r="A89" t="s">
        <v>137</v>
      </c>
      <c r="B89">
        <v>11</v>
      </c>
      <c r="C89" t="s">
        <v>1676</v>
      </c>
      <c r="D89" t="s">
        <v>1747</v>
      </c>
      <c r="E89" t="s">
        <v>1747</v>
      </c>
    </row>
    <row r="90" spans="1:5" x14ac:dyDescent="0.4">
      <c r="A90" t="s">
        <v>139</v>
      </c>
      <c r="B90">
        <v>2</v>
      </c>
      <c r="C90" t="s">
        <v>1676</v>
      </c>
      <c r="D90" t="s">
        <v>1748</v>
      </c>
      <c r="E90" t="s">
        <v>1748</v>
      </c>
    </row>
    <row r="91" spans="1:5" x14ac:dyDescent="0.4">
      <c r="A91" t="s">
        <v>139</v>
      </c>
      <c r="B91">
        <v>10</v>
      </c>
      <c r="C91" t="s">
        <v>1676</v>
      </c>
      <c r="D91" t="s">
        <v>1749</v>
      </c>
      <c r="E91" t="s">
        <v>1678</v>
      </c>
    </row>
    <row r="92" spans="1:5" x14ac:dyDescent="0.4">
      <c r="A92" t="s">
        <v>143</v>
      </c>
      <c r="B92">
        <v>2</v>
      </c>
      <c r="C92" t="s">
        <v>1676</v>
      </c>
      <c r="D92" t="s">
        <v>1683</v>
      </c>
      <c r="E92" t="s">
        <v>1678</v>
      </c>
    </row>
    <row r="93" spans="1:5" x14ac:dyDescent="0.4">
      <c r="A93" t="s">
        <v>1750</v>
      </c>
    </row>
    <row r="94" spans="1:5" x14ac:dyDescent="0.4">
      <c r="A94" t="s">
        <v>145</v>
      </c>
      <c r="B94">
        <v>11</v>
      </c>
      <c r="C94" t="s">
        <v>1676</v>
      </c>
      <c r="D94" t="s">
        <v>1751</v>
      </c>
      <c r="E94" t="s">
        <v>1678</v>
      </c>
    </row>
    <row r="95" spans="1:5" x14ac:dyDescent="0.4">
      <c r="A95" t="s">
        <v>1752</v>
      </c>
    </row>
    <row r="96" spans="1:5" x14ac:dyDescent="0.4">
      <c r="A96" t="s">
        <v>1753</v>
      </c>
    </row>
    <row r="97" spans="1:5" x14ac:dyDescent="0.4">
      <c r="A97" t="s">
        <v>149</v>
      </c>
      <c r="B97">
        <v>17</v>
      </c>
      <c r="C97" t="s">
        <v>1676</v>
      </c>
      <c r="D97" t="s">
        <v>1677</v>
      </c>
      <c r="E97" t="s">
        <v>1678</v>
      </c>
    </row>
    <row r="98" spans="1:5" x14ac:dyDescent="0.4">
      <c r="A98" t="s">
        <v>1754</v>
      </c>
    </row>
    <row r="99" spans="1:5" x14ac:dyDescent="0.4">
      <c r="A99" t="s">
        <v>151</v>
      </c>
      <c r="B99">
        <v>20</v>
      </c>
      <c r="C99" t="s">
        <v>1676</v>
      </c>
      <c r="D99" t="s">
        <v>1755</v>
      </c>
      <c r="E99" t="s">
        <v>1678</v>
      </c>
    </row>
    <row r="100" spans="1:5" x14ac:dyDescent="0.4">
      <c r="A100" t="s">
        <v>151</v>
      </c>
      <c r="B100">
        <v>21</v>
      </c>
      <c r="C100" t="s">
        <v>1676</v>
      </c>
      <c r="D100" t="s">
        <v>1700</v>
      </c>
      <c r="E100" t="s">
        <v>1678</v>
      </c>
    </row>
    <row r="101" spans="1:5" x14ac:dyDescent="0.4">
      <c r="A101" t="s">
        <v>1756</v>
      </c>
    </row>
    <row r="102" spans="1:5" x14ac:dyDescent="0.4">
      <c r="A102" t="s">
        <v>1757</v>
      </c>
    </row>
    <row r="103" spans="1:5" x14ac:dyDescent="0.4">
      <c r="A103" t="s">
        <v>155</v>
      </c>
      <c r="B103">
        <v>11</v>
      </c>
      <c r="C103" t="s">
        <v>1676</v>
      </c>
      <c r="D103" t="s">
        <v>1758</v>
      </c>
      <c r="E103" t="s">
        <v>1758</v>
      </c>
    </row>
    <row r="104" spans="1:5" x14ac:dyDescent="0.4">
      <c r="A104" t="s">
        <v>1759</v>
      </c>
    </row>
    <row r="105" spans="1:5" x14ac:dyDescent="0.4">
      <c r="A105" t="s">
        <v>157</v>
      </c>
      <c r="B105">
        <v>11</v>
      </c>
      <c r="C105" t="s">
        <v>1676</v>
      </c>
      <c r="D105" t="s">
        <v>1760</v>
      </c>
      <c r="E105" t="s">
        <v>1760</v>
      </c>
    </row>
    <row r="106" spans="1:5" x14ac:dyDescent="0.4">
      <c r="A106" t="s">
        <v>1761</v>
      </c>
    </row>
    <row r="107" spans="1:5" x14ac:dyDescent="0.4">
      <c r="A107" t="s">
        <v>1762</v>
      </c>
    </row>
    <row r="108" spans="1:5" x14ac:dyDescent="0.4">
      <c r="A108" t="s">
        <v>1763</v>
      </c>
    </row>
    <row r="109" spans="1:5" x14ac:dyDescent="0.4">
      <c r="A109" t="s">
        <v>163</v>
      </c>
      <c r="B109">
        <v>19</v>
      </c>
      <c r="C109" t="s">
        <v>1676</v>
      </c>
      <c r="D109" t="s">
        <v>1689</v>
      </c>
      <c r="E109" t="s">
        <v>1678</v>
      </c>
    </row>
    <row r="110" spans="1:5" x14ac:dyDescent="0.4">
      <c r="A110" t="s">
        <v>1764</v>
      </c>
    </row>
    <row r="111" spans="1:5" x14ac:dyDescent="0.4">
      <c r="A111" t="s">
        <v>165</v>
      </c>
      <c r="B111">
        <v>11</v>
      </c>
      <c r="C111" t="s">
        <v>1676</v>
      </c>
      <c r="D111" t="s">
        <v>1765</v>
      </c>
      <c r="E111" t="s">
        <v>1678</v>
      </c>
    </row>
    <row r="112" spans="1:5" x14ac:dyDescent="0.4">
      <c r="A112" t="s">
        <v>165</v>
      </c>
      <c r="B112">
        <v>17</v>
      </c>
      <c r="C112" t="s">
        <v>1676</v>
      </c>
      <c r="D112" t="s">
        <v>1766</v>
      </c>
      <c r="E112" t="s">
        <v>1678</v>
      </c>
    </row>
    <row r="113" spans="1:5" x14ac:dyDescent="0.4">
      <c r="A113" t="s">
        <v>1767</v>
      </c>
    </row>
    <row r="114" spans="1:5" x14ac:dyDescent="0.4">
      <c r="A114" t="s">
        <v>167</v>
      </c>
      <c r="B114">
        <v>13</v>
      </c>
      <c r="C114" t="s">
        <v>1676</v>
      </c>
      <c r="D114" t="s">
        <v>1768</v>
      </c>
      <c r="E114" t="s">
        <v>1678</v>
      </c>
    </row>
    <row r="115" spans="1:5" x14ac:dyDescent="0.4">
      <c r="A115" t="s">
        <v>1769</v>
      </c>
    </row>
    <row r="116" spans="1:5" x14ac:dyDescent="0.4">
      <c r="A116" t="s">
        <v>1770</v>
      </c>
    </row>
    <row r="117" spans="1:5" x14ac:dyDescent="0.4">
      <c r="A117" t="s">
        <v>171</v>
      </c>
      <c r="B117">
        <v>5</v>
      </c>
      <c r="C117" t="s">
        <v>1676</v>
      </c>
      <c r="D117" t="s">
        <v>1771</v>
      </c>
      <c r="E117" t="s">
        <v>1678</v>
      </c>
    </row>
    <row r="118" spans="1:5" x14ac:dyDescent="0.4">
      <c r="A118" t="s">
        <v>1772</v>
      </c>
    </row>
    <row r="119" spans="1:5" x14ac:dyDescent="0.4">
      <c r="A119" t="s">
        <v>1773</v>
      </c>
    </row>
    <row r="120" spans="1:5" x14ac:dyDescent="0.4">
      <c r="A120" t="s">
        <v>175</v>
      </c>
      <c r="B120">
        <v>14</v>
      </c>
      <c r="C120" t="s">
        <v>1676</v>
      </c>
      <c r="D120" t="s">
        <v>1774</v>
      </c>
      <c r="E120" t="s">
        <v>1774</v>
      </c>
    </row>
    <row r="121" spans="1:5" x14ac:dyDescent="0.4">
      <c r="A121" t="s">
        <v>1775</v>
      </c>
    </row>
    <row r="122" spans="1:5" x14ac:dyDescent="0.4">
      <c r="A122" t="s">
        <v>1776</v>
      </c>
    </row>
    <row r="123" spans="1:5" x14ac:dyDescent="0.4">
      <c r="A123" t="s">
        <v>179</v>
      </c>
      <c r="B123">
        <v>14</v>
      </c>
      <c r="C123" t="s">
        <v>1676</v>
      </c>
      <c r="D123" t="s">
        <v>1777</v>
      </c>
      <c r="E123" t="s">
        <v>1678</v>
      </c>
    </row>
    <row r="124" spans="1:5" x14ac:dyDescent="0.4">
      <c r="A124" t="s">
        <v>1778</v>
      </c>
    </row>
    <row r="125" spans="1:5" x14ac:dyDescent="0.4">
      <c r="A125" t="s">
        <v>1779</v>
      </c>
    </row>
    <row r="126" spans="1:5" x14ac:dyDescent="0.4">
      <c r="A126" t="s">
        <v>183</v>
      </c>
      <c r="B126">
        <v>7</v>
      </c>
      <c r="C126" t="s">
        <v>1676</v>
      </c>
      <c r="D126" t="s">
        <v>1780</v>
      </c>
      <c r="E126" t="s">
        <v>1678</v>
      </c>
    </row>
    <row r="127" spans="1:5" x14ac:dyDescent="0.4">
      <c r="A127" t="s">
        <v>1781</v>
      </c>
    </row>
    <row r="128" spans="1:5" x14ac:dyDescent="0.4">
      <c r="A128" t="s">
        <v>185</v>
      </c>
      <c r="B128">
        <v>2</v>
      </c>
      <c r="C128" t="s">
        <v>1676</v>
      </c>
      <c r="D128" t="s">
        <v>1782</v>
      </c>
      <c r="E128" t="s">
        <v>1678</v>
      </c>
    </row>
    <row r="129" spans="1:5" x14ac:dyDescent="0.4">
      <c r="A129" t="s">
        <v>1783</v>
      </c>
    </row>
    <row r="130" spans="1:5" x14ac:dyDescent="0.4">
      <c r="A130" t="s">
        <v>1784</v>
      </c>
    </row>
    <row r="131" spans="1:5" x14ac:dyDescent="0.4">
      <c r="A131" t="s">
        <v>189</v>
      </c>
      <c r="B131">
        <v>13</v>
      </c>
      <c r="C131" t="s">
        <v>1676</v>
      </c>
      <c r="D131" t="s">
        <v>1785</v>
      </c>
      <c r="E131" t="s">
        <v>1678</v>
      </c>
    </row>
    <row r="132" spans="1:5" x14ac:dyDescent="0.4">
      <c r="A132" t="s">
        <v>189</v>
      </c>
      <c r="B132">
        <v>20</v>
      </c>
      <c r="C132" t="s">
        <v>1676</v>
      </c>
      <c r="D132" t="s">
        <v>1786</v>
      </c>
      <c r="E132" t="s">
        <v>1786</v>
      </c>
    </row>
    <row r="133" spans="1:5" x14ac:dyDescent="0.4">
      <c r="A133" t="s">
        <v>1787</v>
      </c>
    </row>
    <row r="134" spans="1:5" x14ac:dyDescent="0.4">
      <c r="A134" t="s">
        <v>191</v>
      </c>
      <c r="B134">
        <v>2</v>
      </c>
      <c r="C134" t="s">
        <v>1676</v>
      </c>
      <c r="D134" t="s">
        <v>1788</v>
      </c>
      <c r="E134" t="s">
        <v>1678</v>
      </c>
    </row>
    <row r="135" spans="1:5" x14ac:dyDescent="0.4">
      <c r="A135" t="s">
        <v>191</v>
      </c>
      <c r="B135">
        <v>12</v>
      </c>
      <c r="C135" t="s">
        <v>1676</v>
      </c>
      <c r="D135" t="s">
        <v>1789</v>
      </c>
      <c r="E135" t="s">
        <v>1678</v>
      </c>
    </row>
    <row r="136" spans="1:5" x14ac:dyDescent="0.4">
      <c r="A136" t="s">
        <v>191</v>
      </c>
      <c r="B136">
        <v>16</v>
      </c>
      <c r="C136" t="s">
        <v>1676</v>
      </c>
      <c r="D136" t="s">
        <v>1790</v>
      </c>
      <c r="E136" t="s">
        <v>1678</v>
      </c>
    </row>
    <row r="137" spans="1:5" x14ac:dyDescent="0.4">
      <c r="A137" t="s">
        <v>1791</v>
      </c>
    </row>
    <row r="138" spans="1:5" x14ac:dyDescent="0.4">
      <c r="A138" t="s">
        <v>193</v>
      </c>
      <c r="B138">
        <v>17</v>
      </c>
      <c r="C138" t="s">
        <v>1676</v>
      </c>
      <c r="D138" t="s">
        <v>1792</v>
      </c>
      <c r="E138" t="s">
        <v>1792</v>
      </c>
    </row>
    <row r="139" spans="1:5" x14ac:dyDescent="0.4">
      <c r="A139" t="s">
        <v>1793</v>
      </c>
    </row>
    <row r="140" spans="1:5" x14ac:dyDescent="0.4">
      <c r="A140" t="s">
        <v>1794</v>
      </c>
    </row>
    <row r="141" spans="1:5" x14ac:dyDescent="0.4">
      <c r="A141" t="s">
        <v>197</v>
      </c>
      <c r="B141">
        <v>1</v>
      </c>
      <c r="C141" t="s">
        <v>1676</v>
      </c>
      <c r="D141" t="s">
        <v>1795</v>
      </c>
      <c r="E141" t="s">
        <v>1795</v>
      </c>
    </row>
    <row r="142" spans="1:5" x14ac:dyDescent="0.4">
      <c r="A142" t="s">
        <v>197</v>
      </c>
      <c r="B142">
        <v>5</v>
      </c>
      <c r="C142" t="s">
        <v>1676</v>
      </c>
      <c r="D142" t="s">
        <v>1796</v>
      </c>
      <c r="E142" t="s">
        <v>1796</v>
      </c>
    </row>
    <row r="143" spans="1:5" x14ac:dyDescent="0.4">
      <c r="A143" t="s">
        <v>197</v>
      </c>
      <c r="B143">
        <v>7</v>
      </c>
      <c r="C143" t="s">
        <v>1676</v>
      </c>
      <c r="D143" t="s">
        <v>1797</v>
      </c>
      <c r="E143" t="s">
        <v>1797</v>
      </c>
    </row>
    <row r="144" spans="1:5" x14ac:dyDescent="0.4">
      <c r="A144" t="s">
        <v>197</v>
      </c>
      <c r="B144">
        <v>11</v>
      </c>
      <c r="C144" t="s">
        <v>1676</v>
      </c>
      <c r="D144" t="s">
        <v>1798</v>
      </c>
      <c r="E144" t="s">
        <v>1798</v>
      </c>
    </row>
    <row r="145" spans="1:5" x14ac:dyDescent="0.4">
      <c r="A145" t="s">
        <v>197</v>
      </c>
      <c r="B145">
        <v>18</v>
      </c>
      <c r="C145" t="s">
        <v>1676</v>
      </c>
      <c r="D145" t="s">
        <v>1792</v>
      </c>
      <c r="E145" t="s">
        <v>1792</v>
      </c>
    </row>
    <row r="146" spans="1:5" x14ac:dyDescent="0.4">
      <c r="A146" t="s">
        <v>1799</v>
      </c>
    </row>
    <row r="147" spans="1:5" x14ac:dyDescent="0.4">
      <c r="A147" t="s">
        <v>199</v>
      </c>
      <c r="B147">
        <v>21</v>
      </c>
      <c r="C147" t="s">
        <v>1676</v>
      </c>
      <c r="D147" t="s">
        <v>1800</v>
      </c>
      <c r="E147" t="s">
        <v>1678</v>
      </c>
    </row>
    <row r="148" spans="1:5" x14ac:dyDescent="0.4">
      <c r="A148" t="s">
        <v>1801</v>
      </c>
    </row>
    <row r="149" spans="1:5" x14ac:dyDescent="0.4">
      <c r="A149" t="s">
        <v>201</v>
      </c>
      <c r="B149">
        <v>17</v>
      </c>
      <c r="C149" t="s">
        <v>1676</v>
      </c>
      <c r="D149" t="s">
        <v>1802</v>
      </c>
      <c r="E149" t="s">
        <v>1678</v>
      </c>
    </row>
    <row r="150" spans="1:5" x14ac:dyDescent="0.4">
      <c r="A150" t="s">
        <v>1803</v>
      </c>
    </row>
    <row r="151" spans="1:5" x14ac:dyDescent="0.4">
      <c r="A151" t="s">
        <v>1804</v>
      </c>
    </row>
    <row r="152" spans="1:5" x14ac:dyDescent="0.4">
      <c r="A152" t="s">
        <v>205</v>
      </c>
      <c r="B152">
        <v>2</v>
      </c>
      <c r="C152" t="s">
        <v>1676</v>
      </c>
      <c r="D152" t="s">
        <v>1805</v>
      </c>
      <c r="E152" t="s">
        <v>1678</v>
      </c>
    </row>
    <row r="153" spans="1:5" x14ac:dyDescent="0.4">
      <c r="A153" t="s">
        <v>205</v>
      </c>
      <c r="B153">
        <v>6</v>
      </c>
      <c r="C153" t="s">
        <v>1676</v>
      </c>
      <c r="D153" t="s">
        <v>1806</v>
      </c>
      <c r="E153" t="s">
        <v>1678</v>
      </c>
    </row>
    <row r="154" spans="1:5" x14ac:dyDescent="0.4">
      <c r="A154" t="s">
        <v>205</v>
      </c>
      <c r="B154">
        <v>12</v>
      </c>
      <c r="C154" t="s">
        <v>1676</v>
      </c>
      <c r="D154" t="s">
        <v>1807</v>
      </c>
      <c r="E154" t="s">
        <v>1678</v>
      </c>
    </row>
    <row r="155" spans="1:5" x14ac:dyDescent="0.4">
      <c r="A155" t="s">
        <v>205</v>
      </c>
      <c r="B155">
        <v>16</v>
      </c>
      <c r="C155" t="s">
        <v>1676</v>
      </c>
      <c r="D155" t="s">
        <v>1808</v>
      </c>
      <c r="E155" t="s">
        <v>1678</v>
      </c>
    </row>
    <row r="156" spans="1:5" x14ac:dyDescent="0.4">
      <c r="A156" t="s">
        <v>1809</v>
      </c>
    </row>
    <row r="157" spans="1:5" x14ac:dyDescent="0.4">
      <c r="A157" t="s">
        <v>207</v>
      </c>
      <c r="B157">
        <v>1</v>
      </c>
      <c r="C157" t="s">
        <v>1676</v>
      </c>
      <c r="D157" t="s">
        <v>1810</v>
      </c>
      <c r="E157" t="s">
        <v>1678</v>
      </c>
    </row>
    <row r="158" spans="1:5" x14ac:dyDescent="0.4">
      <c r="A158" t="s">
        <v>207</v>
      </c>
      <c r="B158">
        <v>13</v>
      </c>
      <c r="C158" t="s">
        <v>1676</v>
      </c>
      <c r="D158" t="s">
        <v>1700</v>
      </c>
      <c r="E158" t="s">
        <v>1678</v>
      </c>
    </row>
    <row r="159" spans="1:5" x14ac:dyDescent="0.4">
      <c r="A159" t="s">
        <v>207</v>
      </c>
      <c r="B159">
        <v>15</v>
      </c>
      <c r="C159" t="s">
        <v>1676</v>
      </c>
      <c r="D159" t="s">
        <v>1699</v>
      </c>
      <c r="E159" t="s">
        <v>1678</v>
      </c>
    </row>
    <row r="160" spans="1:5" x14ac:dyDescent="0.4">
      <c r="A160" t="s">
        <v>1811</v>
      </c>
    </row>
    <row r="161" spans="1:5" x14ac:dyDescent="0.4">
      <c r="A161" t="s">
        <v>1812</v>
      </c>
    </row>
    <row r="162" spans="1:5" x14ac:dyDescent="0.4">
      <c r="A162" t="s">
        <v>1813</v>
      </c>
    </row>
    <row r="163" spans="1:5" x14ac:dyDescent="0.4">
      <c r="A163" t="s">
        <v>213</v>
      </c>
      <c r="B163">
        <v>2</v>
      </c>
      <c r="C163" t="s">
        <v>1676</v>
      </c>
      <c r="D163" t="s">
        <v>1814</v>
      </c>
      <c r="E163" t="s">
        <v>1814</v>
      </c>
    </row>
    <row r="164" spans="1:5" x14ac:dyDescent="0.4">
      <c r="A164" t="s">
        <v>213</v>
      </c>
      <c r="B164">
        <v>4</v>
      </c>
      <c r="C164" t="s">
        <v>1676</v>
      </c>
      <c r="D164" t="s">
        <v>1815</v>
      </c>
      <c r="E164" t="s">
        <v>1678</v>
      </c>
    </row>
    <row r="165" spans="1:5" x14ac:dyDescent="0.4">
      <c r="A165" t="s">
        <v>213</v>
      </c>
      <c r="B165">
        <v>20</v>
      </c>
      <c r="C165" t="s">
        <v>1676</v>
      </c>
      <c r="D165" t="s">
        <v>1786</v>
      </c>
      <c r="E165" t="s">
        <v>1786</v>
      </c>
    </row>
    <row r="166" spans="1:5" x14ac:dyDescent="0.4">
      <c r="A166" t="s">
        <v>1816</v>
      </c>
    </row>
    <row r="167" spans="1:5" x14ac:dyDescent="0.4">
      <c r="A167" t="s">
        <v>215</v>
      </c>
      <c r="B167">
        <v>8</v>
      </c>
      <c r="C167" t="s">
        <v>1676</v>
      </c>
      <c r="D167" t="s">
        <v>1817</v>
      </c>
      <c r="E167" t="s">
        <v>1678</v>
      </c>
    </row>
    <row r="168" spans="1:5" x14ac:dyDescent="0.4">
      <c r="A168" t="s">
        <v>1818</v>
      </c>
    </row>
    <row r="169" spans="1:5" x14ac:dyDescent="0.4">
      <c r="A169" t="s">
        <v>217</v>
      </c>
      <c r="B169">
        <v>2</v>
      </c>
      <c r="C169" t="s">
        <v>1676</v>
      </c>
      <c r="D169" t="s">
        <v>1819</v>
      </c>
      <c r="E169" t="s">
        <v>1819</v>
      </c>
    </row>
    <row r="170" spans="1:5" x14ac:dyDescent="0.4">
      <c r="A170" t="s">
        <v>217</v>
      </c>
      <c r="B170">
        <v>14</v>
      </c>
      <c r="C170" t="s">
        <v>1676</v>
      </c>
      <c r="D170" t="s">
        <v>1820</v>
      </c>
      <c r="E170" t="s">
        <v>1678</v>
      </c>
    </row>
    <row r="171" spans="1:5" x14ac:dyDescent="0.4">
      <c r="A171" t="s">
        <v>217</v>
      </c>
      <c r="B171">
        <v>20</v>
      </c>
      <c r="C171" t="s">
        <v>1676</v>
      </c>
      <c r="D171" t="s">
        <v>1821</v>
      </c>
      <c r="E171" t="s">
        <v>1678</v>
      </c>
    </row>
    <row r="172" spans="1:5" x14ac:dyDescent="0.4">
      <c r="A172" t="s">
        <v>1822</v>
      </c>
    </row>
    <row r="173" spans="1:5" x14ac:dyDescent="0.4">
      <c r="A173" t="s">
        <v>219</v>
      </c>
      <c r="B173">
        <v>3</v>
      </c>
      <c r="C173" t="s">
        <v>1676</v>
      </c>
      <c r="D173" t="s">
        <v>1706</v>
      </c>
      <c r="E173" t="s">
        <v>1678</v>
      </c>
    </row>
    <row r="174" spans="1:5" x14ac:dyDescent="0.4">
      <c r="A174" t="s">
        <v>219</v>
      </c>
      <c r="B174">
        <v>9</v>
      </c>
      <c r="C174" t="s">
        <v>1676</v>
      </c>
      <c r="D174" t="s">
        <v>1823</v>
      </c>
      <c r="E174" t="s">
        <v>1678</v>
      </c>
    </row>
    <row r="175" spans="1:5" x14ac:dyDescent="0.4">
      <c r="A175" t="s">
        <v>219</v>
      </c>
      <c r="B175">
        <v>19</v>
      </c>
      <c r="C175" t="s">
        <v>1676</v>
      </c>
      <c r="D175" t="s">
        <v>1718</v>
      </c>
      <c r="E175" t="s">
        <v>1678</v>
      </c>
    </row>
    <row r="176" spans="1:5" x14ac:dyDescent="0.4">
      <c r="A176" t="s">
        <v>1824</v>
      </c>
    </row>
    <row r="177" spans="1:5" x14ac:dyDescent="0.4">
      <c r="A177" t="s">
        <v>221</v>
      </c>
      <c r="B177">
        <v>2</v>
      </c>
      <c r="C177" t="s">
        <v>1676</v>
      </c>
      <c r="D177" t="s">
        <v>1782</v>
      </c>
      <c r="E177" t="s">
        <v>1678</v>
      </c>
    </row>
    <row r="178" spans="1:5" x14ac:dyDescent="0.4">
      <c r="A178" t="s">
        <v>221</v>
      </c>
      <c r="B178">
        <v>12</v>
      </c>
      <c r="C178" t="s">
        <v>1676</v>
      </c>
      <c r="D178" t="s">
        <v>1825</v>
      </c>
      <c r="E178" t="s">
        <v>1678</v>
      </c>
    </row>
    <row r="179" spans="1:5" x14ac:dyDescent="0.4">
      <c r="A179" t="s">
        <v>221</v>
      </c>
      <c r="B179">
        <v>16</v>
      </c>
      <c r="C179" t="s">
        <v>1676</v>
      </c>
      <c r="D179" t="s">
        <v>1826</v>
      </c>
      <c r="E179" t="s">
        <v>1678</v>
      </c>
    </row>
    <row r="180" spans="1:5" x14ac:dyDescent="0.4">
      <c r="A180" t="s">
        <v>1827</v>
      </c>
    </row>
    <row r="181" spans="1:5" x14ac:dyDescent="0.4">
      <c r="A181" t="s">
        <v>223</v>
      </c>
      <c r="B181">
        <v>10</v>
      </c>
      <c r="C181" t="s">
        <v>1676</v>
      </c>
      <c r="D181" t="s">
        <v>1828</v>
      </c>
      <c r="E181" t="s">
        <v>1678</v>
      </c>
    </row>
    <row r="182" spans="1:5" x14ac:dyDescent="0.4">
      <c r="A182" t="s">
        <v>223</v>
      </c>
      <c r="B182">
        <v>19</v>
      </c>
      <c r="C182" t="s">
        <v>1676</v>
      </c>
      <c r="D182" t="s">
        <v>1829</v>
      </c>
      <c r="E182" t="s">
        <v>1678</v>
      </c>
    </row>
    <row r="183" spans="1:5" x14ac:dyDescent="0.4">
      <c r="A183" t="s">
        <v>1830</v>
      </c>
    </row>
    <row r="184" spans="1:5" x14ac:dyDescent="0.4">
      <c r="A184" t="s">
        <v>225</v>
      </c>
      <c r="B184">
        <v>5</v>
      </c>
      <c r="C184" t="s">
        <v>1676</v>
      </c>
      <c r="D184" t="s">
        <v>1831</v>
      </c>
      <c r="E184" t="s">
        <v>1678</v>
      </c>
    </row>
    <row r="185" spans="1:5" x14ac:dyDescent="0.4">
      <c r="A185" t="s">
        <v>225</v>
      </c>
      <c r="B185">
        <v>14</v>
      </c>
      <c r="C185" t="s">
        <v>1676</v>
      </c>
      <c r="D185" t="s">
        <v>1832</v>
      </c>
      <c r="E185" t="s">
        <v>1832</v>
      </c>
    </row>
    <row r="186" spans="1:5" x14ac:dyDescent="0.4">
      <c r="A186" t="s">
        <v>1833</v>
      </c>
    </row>
    <row r="187" spans="1:5" x14ac:dyDescent="0.4">
      <c r="A187" t="s">
        <v>1834</v>
      </c>
    </row>
    <row r="188" spans="1:5" x14ac:dyDescent="0.4">
      <c r="A188" t="s">
        <v>229</v>
      </c>
      <c r="B188">
        <v>11</v>
      </c>
      <c r="C188" t="s">
        <v>1676</v>
      </c>
      <c r="D188" t="s">
        <v>1835</v>
      </c>
      <c r="E188" t="s">
        <v>1835</v>
      </c>
    </row>
    <row r="189" spans="1:5" x14ac:dyDescent="0.4">
      <c r="A189" t="s">
        <v>229</v>
      </c>
      <c r="B189">
        <v>14</v>
      </c>
      <c r="C189" t="s">
        <v>1676</v>
      </c>
      <c r="D189" t="s">
        <v>1836</v>
      </c>
      <c r="E189" t="s">
        <v>1678</v>
      </c>
    </row>
    <row r="190" spans="1:5" x14ac:dyDescent="0.4">
      <c r="A190" t="s">
        <v>1837</v>
      </c>
    </row>
    <row r="191" spans="1:5" x14ac:dyDescent="0.4">
      <c r="A191" t="s">
        <v>1838</v>
      </c>
    </row>
    <row r="192" spans="1:5" x14ac:dyDescent="0.4">
      <c r="A192" t="s">
        <v>233</v>
      </c>
      <c r="B192">
        <v>1</v>
      </c>
      <c r="C192" t="s">
        <v>1676</v>
      </c>
      <c r="D192" t="s">
        <v>1789</v>
      </c>
      <c r="E192" t="s">
        <v>1678</v>
      </c>
    </row>
    <row r="193" spans="1:5" x14ac:dyDescent="0.4">
      <c r="A193" t="s">
        <v>233</v>
      </c>
      <c r="B193">
        <v>6</v>
      </c>
      <c r="C193" t="s">
        <v>1676</v>
      </c>
      <c r="D193" t="s">
        <v>1839</v>
      </c>
      <c r="E193" t="s">
        <v>1678</v>
      </c>
    </row>
    <row r="194" spans="1:5" x14ac:dyDescent="0.4">
      <c r="A194" t="s">
        <v>233</v>
      </c>
      <c r="B194">
        <v>19</v>
      </c>
      <c r="C194" t="s">
        <v>1676</v>
      </c>
      <c r="D194" t="s">
        <v>1693</v>
      </c>
      <c r="E194" t="s">
        <v>1678</v>
      </c>
    </row>
    <row r="195" spans="1:5" x14ac:dyDescent="0.4">
      <c r="A195" t="s">
        <v>1840</v>
      </c>
    </row>
    <row r="196" spans="1:5" x14ac:dyDescent="0.4">
      <c r="A196" t="s">
        <v>1841</v>
      </c>
    </row>
    <row r="197" spans="1:5" x14ac:dyDescent="0.4">
      <c r="A197" t="s">
        <v>237</v>
      </c>
      <c r="B197">
        <v>11</v>
      </c>
      <c r="C197" t="s">
        <v>1676</v>
      </c>
      <c r="D197" t="s">
        <v>1842</v>
      </c>
      <c r="E197" t="s">
        <v>1842</v>
      </c>
    </row>
    <row r="198" spans="1:5" x14ac:dyDescent="0.4">
      <c r="A198" t="s">
        <v>1843</v>
      </c>
    </row>
    <row r="199" spans="1:5" x14ac:dyDescent="0.4">
      <c r="A199" t="s">
        <v>239</v>
      </c>
      <c r="B199">
        <v>7</v>
      </c>
      <c r="C199" t="s">
        <v>1676</v>
      </c>
      <c r="D199" t="s">
        <v>1749</v>
      </c>
      <c r="E199" t="s">
        <v>1678</v>
      </c>
    </row>
    <row r="200" spans="1:5" x14ac:dyDescent="0.4">
      <c r="A200" t="s">
        <v>1844</v>
      </c>
    </row>
    <row r="201" spans="1:5" x14ac:dyDescent="0.4">
      <c r="A201" t="s">
        <v>241</v>
      </c>
      <c r="B201">
        <v>8</v>
      </c>
      <c r="C201" t="s">
        <v>1676</v>
      </c>
      <c r="D201" t="s">
        <v>1845</v>
      </c>
      <c r="E201" t="s">
        <v>1678</v>
      </c>
    </row>
    <row r="202" spans="1:5" x14ac:dyDescent="0.4">
      <c r="A202" t="s">
        <v>1846</v>
      </c>
    </row>
    <row r="203" spans="1:5" x14ac:dyDescent="0.4">
      <c r="A203" t="s">
        <v>243</v>
      </c>
      <c r="B203">
        <v>20</v>
      </c>
      <c r="C203" t="s">
        <v>1676</v>
      </c>
      <c r="D203" t="s">
        <v>1727</v>
      </c>
      <c r="E203" t="s">
        <v>1727</v>
      </c>
    </row>
    <row r="204" spans="1:5" x14ac:dyDescent="0.4">
      <c r="A204" t="s">
        <v>1847</v>
      </c>
    </row>
    <row r="205" spans="1:5" x14ac:dyDescent="0.4">
      <c r="A205" t="s">
        <v>245</v>
      </c>
      <c r="B205">
        <v>3</v>
      </c>
      <c r="C205" t="s">
        <v>1676</v>
      </c>
      <c r="D205" t="s">
        <v>1848</v>
      </c>
      <c r="E205" t="s">
        <v>1678</v>
      </c>
    </row>
    <row r="206" spans="1:5" x14ac:dyDescent="0.4">
      <c r="A206" t="s">
        <v>245</v>
      </c>
      <c r="B206">
        <v>15</v>
      </c>
      <c r="C206" t="s">
        <v>1676</v>
      </c>
      <c r="D206" t="s">
        <v>1849</v>
      </c>
      <c r="E206" t="s">
        <v>1678</v>
      </c>
    </row>
    <row r="207" spans="1:5" x14ac:dyDescent="0.4">
      <c r="A207" t="s">
        <v>1850</v>
      </c>
    </row>
    <row r="208" spans="1:5" x14ac:dyDescent="0.4">
      <c r="A208" t="s">
        <v>247</v>
      </c>
      <c r="B208">
        <v>2</v>
      </c>
      <c r="C208" t="s">
        <v>1676</v>
      </c>
      <c r="D208" t="s">
        <v>1851</v>
      </c>
      <c r="E208" t="s">
        <v>1851</v>
      </c>
    </row>
    <row r="209" spans="1:5" x14ac:dyDescent="0.4">
      <c r="A209" t="s">
        <v>247</v>
      </c>
      <c r="B209">
        <v>21</v>
      </c>
      <c r="C209" t="s">
        <v>1676</v>
      </c>
      <c r="D209" t="s">
        <v>1852</v>
      </c>
      <c r="E209" t="s">
        <v>1852</v>
      </c>
    </row>
    <row r="210" spans="1:5" x14ac:dyDescent="0.4">
      <c r="A210" t="s">
        <v>1853</v>
      </c>
    </row>
    <row r="211" spans="1:5" x14ac:dyDescent="0.4">
      <c r="A211" t="s">
        <v>1854</v>
      </c>
    </row>
    <row r="212" spans="1:5" x14ac:dyDescent="0.4">
      <c r="A212" t="s">
        <v>1855</v>
      </c>
    </row>
    <row r="213" spans="1:5" x14ac:dyDescent="0.4">
      <c r="A213" t="s">
        <v>253</v>
      </c>
      <c r="B213">
        <v>10</v>
      </c>
      <c r="C213" t="s">
        <v>1676</v>
      </c>
      <c r="D213" t="s">
        <v>1702</v>
      </c>
      <c r="E213" t="s">
        <v>1678</v>
      </c>
    </row>
    <row r="214" spans="1:5" x14ac:dyDescent="0.4">
      <c r="A214" t="s">
        <v>1856</v>
      </c>
    </row>
    <row r="215" spans="1:5" x14ac:dyDescent="0.4">
      <c r="A215" t="s">
        <v>255</v>
      </c>
      <c r="B215">
        <v>11</v>
      </c>
      <c r="C215" t="s">
        <v>1676</v>
      </c>
      <c r="D215" t="s">
        <v>1720</v>
      </c>
      <c r="E215" t="s">
        <v>1678</v>
      </c>
    </row>
    <row r="216" spans="1:5" x14ac:dyDescent="0.4">
      <c r="A216" t="s">
        <v>255</v>
      </c>
      <c r="B216">
        <v>12</v>
      </c>
      <c r="C216" t="s">
        <v>1676</v>
      </c>
      <c r="D216" t="s">
        <v>1681</v>
      </c>
      <c r="E216" t="s">
        <v>1678</v>
      </c>
    </row>
    <row r="217" spans="1:5" x14ac:dyDescent="0.4">
      <c r="A217" t="s">
        <v>255</v>
      </c>
      <c r="B217">
        <v>18</v>
      </c>
      <c r="C217" t="s">
        <v>1676</v>
      </c>
      <c r="D217" t="s">
        <v>1734</v>
      </c>
      <c r="E217" t="s">
        <v>1678</v>
      </c>
    </row>
    <row r="218" spans="1:5" x14ac:dyDescent="0.4">
      <c r="A218" t="s">
        <v>255</v>
      </c>
      <c r="B218">
        <v>20</v>
      </c>
      <c r="C218" t="s">
        <v>1676</v>
      </c>
      <c r="D218" t="s">
        <v>1683</v>
      </c>
      <c r="E218" t="s">
        <v>1678</v>
      </c>
    </row>
    <row r="219" spans="1:5" x14ac:dyDescent="0.4">
      <c r="A219" t="s">
        <v>1857</v>
      </c>
    </row>
    <row r="220" spans="1:5" x14ac:dyDescent="0.4">
      <c r="A220" t="s">
        <v>257</v>
      </c>
      <c r="B220">
        <v>9</v>
      </c>
      <c r="C220" t="s">
        <v>1676</v>
      </c>
      <c r="D220" t="s">
        <v>1740</v>
      </c>
      <c r="E220" t="s">
        <v>1678</v>
      </c>
    </row>
    <row r="221" spans="1:5" x14ac:dyDescent="0.4">
      <c r="A221" t="s">
        <v>1858</v>
      </c>
    </row>
    <row r="222" spans="1:5" x14ac:dyDescent="0.4">
      <c r="A222" t="s">
        <v>259</v>
      </c>
      <c r="B222">
        <v>14</v>
      </c>
      <c r="C222" t="s">
        <v>1676</v>
      </c>
      <c r="D222" t="s">
        <v>1859</v>
      </c>
      <c r="E222" t="s">
        <v>1678</v>
      </c>
    </row>
    <row r="223" spans="1:5" x14ac:dyDescent="0.4">
      <c r="A223" t="s">
        <v>1860</v>
      </c>
    </row>
    <row r="224" spans="1:5" x14ac:dyDescent="0.4">
      <c r="A224" t="s">
        <v>1861</v>
      </c>
    </row>
    <row r="225" spans="1:5" x14ac:dyDescent="0.4">
      <c r="A225" t="s">
        <v>1862</v>
      </c>
    </row>
    <row r="226" spans="1:5" x14ac:dyDescent="0.4">
      <c r="A226" t="s">
        <v>265</v>
      </c>
      <c r="B226">
        <v>10</v>
      </c>
      <c r="C226" t="s">
        <v>1676</v>
      </c>
      <c r="D226" t="s">
        <v>1681</v>
      </c>
      <c r="E226" t="s">
        <v>1678</v>
      </c>
    </row>
    <row r="227" spans="1:5" x14ac:dyDescent="0.4">
      <c r="A227" t="s">
        <v>1863</v>
      </c>
    </row>
    <row r="228" spans="1:5" x14ac:dyDescent="0.4">
      <c r="A228" t="s">
        <v>267</v>
      </c>
      <c r="B228">
        <v>10</v>
      </c>
      <c r="C228" t="s">
        <v>1676</v>
      </c>
      <c r="D228" t="s">
        <v>1864</v>
      </c>
      <c r="E228" t="s">
        <v>1678</v>
      </c>
    </row>
    <row r="229" spans="1:5" x14ac:dyDescent="0.4">
      <c r="A229" t="s">
        <v>1865</v>
      </c>
    </row>
    <row r="230" spans="1:5" x14ac:dyDescent="0.4">
      <c r="A230" t="s">
        <v>1866</v>
      </c>
    </row>
    <row r="231" spans="1:5" x14ac:dyDescent="0.4">
      <c r="A231" t="s">
        <v>1867</v>
      </c>
    </row>
    <row r="232" spans="1:5" x14ac:dyDescent="0.4">
      <c r="A232" t="s">
        <v>273</v>
      </c>
      <c r="B232">
        <v>5</v>
      </c>
      <c r="C232" t="s">
        <v>1676</v>
      </c>
      <c r="D232" t="s">
        <v>1726</v>
      </c>
      <c r="E232" t="s">
        <v>1678</v>
      </c>
    </row>
    <row r="233" spans="1:5" x14ac:dyDescent="0.4">
      <c r="A233" t="s">
        <v>273</v>
      </c>
      <c r="B233">
        <v>9</v>
      </c>
      <c r="C233" t="s">
        <v>1676</v>
      </c>
      <c r="D233" t="s">
        <v>1681</v>
      </c>
      <c r="E233" t="s">
        <v>1678</v>
      </c>
    </row>
    <row r="234" spans="1:5" x14ac:dyDescent="0.4">
      <c r="A234" t="s">
        <v>273</v>
      </c>
      <c r="B234">
        <v>13</v>
      </c>
      <c r="C234" t="s">
        <v>1676</v>
      </c>
      <c r="D234" t="s">
        <v>1868</v>
      </c>
      <c r="E234" t="s">
        <v>1678</v>
      </c>
    </row>
    <row r="235" spans="1:5" x14ac:dyDescent="0.4">
      <c r="A235" t="s">
        <v>273</v>
      </c>
      <c r="B235">
        <v>21</v>
      </c>
      <c r="C235" t="s">
        <v>1676</v>
      </c>
      <c r="D235" t="s">
        <v>1800</v>
      </c>
      <c r="E235" t="s">
        <v>1678</v>
      </c>
    </row>
    <row r="236" spans="1:5" x14ac:dyDescent="0.4">
      <c r="A236" t="s">
        <v>1869</v>
      </c>
    </row>
    <row r="237" spans="1:5" x14ac:dyDescent="0.4">
      <c r="A237" t="s">
        <v>1870</v>
      </c>
    </row>
    <row r="238" spans="1:5" x14ac:dyDescent="0.4">
      <c r="A238" t="s">
        <v>277</v>
      </c>
      <c r="B238">
        <v>5</v>
      </c>
      <c r="C238" t="s">
        <v>1676</v>
      </c>
      <c r="D238" t="s">
        <v>1782</v>
      </c>
      <c r="E238" t="s">
        <v>1678</v>
      </c>
    </row>
    <row r="239" spans="1:5" x14ac:dyDescent="0.4">
      <c r="A239" t="s">
        <v>277</v>
      </c>
      <c r="B239">
        <v>15</v>
      </c>
      <c r="C239" t="s">
        <v>1676</v>
      </c>
      <c r="D239" t="s">
        <v>1871</v>
      </c>
      <c r="E239" t="s">
        <v>1678</v>
      </c>
    </row>
    <row r="240" spans="1:5" x14ac:dyDescent="0.4">
      <c r="A240" t="s">
        <v>277</v>
      </c>
      <c r="B240">
        <v>19</v>
      </c>
      <c r="C240" t="s">
        <v>1676</v>
      </c>
      <c r="D240" t="s">
        <v>1702</v>
      </c>
      <c r="E240" t="s">
        <v>1678</v>
      </c>
    </row>
    <row r="241" spans="1:5" x14ac:dyDescent="0.4">
      <c r="A241" t="s">
        <v>1872</v>
      </c>
    </row>
    <row r="242" spans="1:5" x14ac:dyDescent="0.4">
      <c r="A242" t="s">
        <v>1873</v>
      </c>
    </row>
    <row r="243" spans="1:5" x14ac:dyDescent="0.4">
      <c r="A243" t="s">
        <v>1874</v>
      </c>
    </row>
    <row r="244" spans="1:5" x14ac:dyDescent="0.4">
      <c r="A244" t="s">
        <v>1875</v>
      </c>
    </row>
    <row r="245" spans="1:5" x14ac:dyDescent="0.4">
      <c r="A245" t="s">
        <v>1876</v>
      </c>
    </row>
    <row r="246" spans="1:5" x14ac:dyDescent="0.4">
      <c r="A246" t="s">
        <v>287</v>
      </c>
      <c r="B246">
        <v>11</v>
      </c>
      <c r="C246" t="s">
        <v>1676</v>
      </c>
      <c r="D246" t="s">
        <v>1877</v>
      </c>
      <c r="E246" t="s">
        <v>1877</v>
      </c>
    </row>
    <row r="247" spans="1:5" x14ac:dyDescent="0.4">
      <c r="A247" t="s">
        <v>1878</v>
      </c>
    </row>
    <row r="248" spans="1:5" x14ac:dyDescent="0.4">
      <c r="A248" t="s">
        <v>289</v>
      </c>
      <c r="B248">
        <v>4</v>
      </c>
      <c r="C248" t="s">
        <v>1676</v>
      </c>
      <c r="D248" t="s">
        <v>1879</v>
      </c>
      <c r="E248" t="s">
        <v>1879</v>
      </c>
    </row>
    <row r="249" spans="1:5" x14ac:dyDescent="0.4">
      <c r="A249" t="s">
        <v>289</v>
      </c>
      <c r="B249">
        <v>8</v>
      </c>
      <c r="C249" t="s">
        <v>1676</v>
      </c>
      <c r="D249" t="s">
        <v>1717</v>
      </c>
      <c r="E249" t="s">
        <v>1717</v>
      </c>
    </row>
    <row r="250" spans="1:5" x14ac:dyDescent="0.4">
      <c r="A250" t="s">
        <v>289</v>
      </c>
      <c r="B250">
        <v>10</v>
      </c>
      <c r="C250" t="s">
        <v>1676</v>
      </c>
      <c r="D250" t="s">
        <v>1880</v>
      </c>
      <c r="E250" t="s">
        <v>1880</v>
      </c>
    </row>
    <row r="251" spans="1:5" x14ac:dyDescent="0.4">
      <c r="A251" t="s">
        <v>289</v>
      </c>
      <c r="B251">
        <v>14</v>
      </c>
      <c r="C251" t="s">
        <v>1676</v>
      </c>
      <c r="D251" t="s">
        <v>1881</v>
      </c>
      <c r="E251" t="s">
        <v>1881</v>
      </c>
    </row>
    <row r="252" spans="1:5" x14ac:dyDescent="0.4">
      <c r="A252" t="s">
        <v>289</v>
      </c>
      <c r="B252">
        <v>21</v>
      </c>
      <c r="C252" t="s">
        <v>1676</v>
      </c>
      <c r="D252" t="s">
        <v>1882</v>
      </c>
      <c r="E252" t="s">
        <v>1882</v>
      </c>
    </row>
    <row r="253" spans="1:5" x14ac:dyDescent="0.4">
      <c r="A253" t="s">
        <v>1883</v>
      </c>
    </row>
    <row r="254" spans="1:5" x14ac:dyDescent="0.4">
      <c r="A254" t="s">
        <v>1884</v>
      </c>
    </row>
    <row r="255" spans="1:5" x14ac:dyDescent="0.4">
      <c r="A255" t="s">
        <v>293</v>
      </c>
      <c r="B255">
        <v>21</v>
      </c>
      <c r="C255" t="s">
        <v>1676</v>
      </c>
      <c r="D255" t="s">
        <v>1885</v>
      </c>
      <c r="E255" t="s">
        <v>1885</v>
      </c>
    </row>
    <row r="256" spans="1:5" x14ac:dyDescent="0.4">
      <c r="A256" t="s">
        <v>1886</v>
      </c>
    </row>
    <row r="257" spans="1:5" x14ac:dyDescent="0.4">
      <c r="A257" t="s">
        <v>1887</v>
      </c>
    </row>
    <row r="258" spans="1:5" x14ac:dyDescent="0.4">
      <c r="A258" t="s">
        <v>297</v>
      </c>
      <c r="B258">
        <v>5</v>
      </c>
      <c r="C258" t="s">
        <v>1676</v>
      </c>
      <c r="D258" t="s">
        <v>1821</v>
      </c>
      <c r="E258" t="s">
        <v>1678</v>
      </c>
    </row>
    <row r="259" spans="1:5" x14ac:dyDescent="0.4">
      <c r="A259" t="s">
        <v>297</v>
      </c>
      <c r="B259">
        <v>15</v>
      </c>
      <c r="C259" t="s">
        <v>1676</v>
      </c>
      <c r="D259" t="s">
        <v>1888</v>
      </c>
      <c r="E259" t="s">
        <v>1678</v>
      </c>
    </row>
    <row r="260" spans="1:5" x14ac:dyDescent="0.4">
      <c r="A260" t="s">
        <v>297</v>
      </c>
      <c r="B260">
        <v>19</v>
      </c>
      <c r="C260" t="s">
        <v>1676</v>
      </c>
      <c r="D260" t="s">
        <v>1889</v>
      </c>
      <c r="E260" t="s">
        <v>1678</v>
      </c>
    </row>
    <row r="261" spans="1:5" x14ac:dyDescent="0.4">
      <c r="A261" t="s">
        <v>1890</v>
      </c>
    </row>
    <row r="262" spans="1:5" x14ac:dyDescent="0.4">
      <c r="A262" t="s">
        <v>1891</v>
      </c>
    </row>
    <row r="263" spans="1:5" x14ac:dyDescent="0.4">
      <c r="A263" t="s">
        <v>1892</v>
      </c>
    </row>
    <row r="264" spans="1:5" x14ac:dyDescent="0.4">
      <c r="A264" t="s">
        <v>303</v>
      </c>
      <c r="B264">
        <v>3</v>
      </c>
      <c r="C264" t="s">
        <v>1676</v>
      </c>
      <c r="D264" t="s">
        <v>1690</v>
      </c>
      <c r="E264" t="s">
        <v>1678</v>
      </c>
    </row>
    <row r="265" spans="1:5" x14ac:dyDescent="0.4">
      <c r="A265" t="s">
        <v>303</v>
      </c>
      <c r="B265">
        <v>9</v>
      </c>
      <c r="C265" t="s">
        <v>1676</v>
      </c>
      <c r="D265" t="s">
        <v>1893</v>
      </c>
      <c r="E265" t="s">
        <v>1678</v>
      </c>
    </row>
    <row r="266" spans="1:5" x14ac:dyDescent="0.4">
      <c r="A266" t="s">
        <v>303</v>
      </c>
      <c r="B266">
        <v>19</v>
      </c>
      <c r="C266" t="s">
        <v>1676</v>
      </c>
      <c r="D266" t="s">
        <v>1710</v>
      </c>
      <c r="E266" t="s">
        <v>1678</v>
      </c>
    </row>
    <row r="267" spans="1:5" x14ac:dyDescent="0.4">
      <c r="A267" t="s">
        <v>1894</v>
      </c>
    </row>
    <row r="268" spans="1:5" x14ac:dyDescent="0.4">
      <c r="A268" t="s">
        <v>1895</v>
      </c>
    </row>
    <row r="269" spans="1:5" x14ac:dyDescent="0.4">
      <c r="A269" t="s">
        <v>307</v>
      </c>
      <c r="B269">
        <v>11</v>
      </c>
      <c r="C269" t="s">
        <v>1676</v>
      </c>
      <c r="D269" t="s">
        <v>1896</v>
      </c>
      <c r="E269" t="s">
        <v>1896</v>
      </c>
    </row>
    <row r="270" spans="1:5" x14ac:dyDescent="0.4">
      <c r="A270" t="s">
        <v>307</v>
      </c>
      <c r="B270">
        <v>16</v>
      </c>
      <c r="C270" t="s">
        <v>1676</v>
      </c>
      <c r="D270" t="s">
        <v>1897</v>
      </c>
      <c r="E270" t="s">
        <v>1678</v>
      </c>
    </row>
    <row r="271" spans="1:5" x14ac:dyDescent="0.4">
      <c r="A271" t="s">
        <v>1898</v>
      </c>
    </row>
    <row r="272" spans="1:5" x14ac:dyDescent="0.4">
      <c r="A272" t="s">
        <v>309</v>
      </c>
      <c r="B272">
        <v>14</v>
      </c>
      <c r="C272" t="s">
        <v>1676</v>
      </c>
      <c r="D272" t="s">
        <v>1899</v>
      </c>
      <c r="E272" t="s">
        <v>1899</v>
      </c>
    </row>
    <row r="273" spans="1:5" x14ac:dyDescent="0.4">
      <c r="A273" t="s">
        <v>1900</v>
      </c>
    </row>
    <row r="274" spans="1:5" x14ac:dyDescent="0.4">
      <c r="A274" t="s">
        <v>311</v>
      </c>
      <c r="B274">
        <v>14</v>
      </c>
      <c r="C274" t="s">
        <v>1676</v>
      </c>
      <c r="D274" t="s">
        <v>1901</v>
      </c>
      <c r="E274" t="s">
        <v>1901</v>
      </c>
    </row>
    <row r="275" spans="1:5" x14ac:dyDescent="0.4">
      <c r="A275" t="s">
        <v>1902</v>
      </c>
    </row>
    <row r="276" spans="1:5" x14ac:dyDescent="0.4">
      <c r="A276" t="s">
        <v>313</v>
      </c>
      <c r="B276">
        <v>10</v>
      </c>
      <c r="C276" t="s">
        <v>1676</v>
      </c>
      <c r="D276" t="s">
        <v>1687</v>
      </c>
      <c r="E276" t="s">
        <v>1678</v>
      </c>
    </row>
    <row r="277" spans="1:5" x14ac:dyDescent="0.4">
      <c r="A277" t="s">
        <v>1903</v>
      </c>
    </row>
    <row r="278" spans="1:5" x14ac:dyDescent="0.4">
      <c r="A278" t="s">
        <v>1904</v>
      </c>
    </row>
    <row r="279" spans="1:5" x14ac:dyDescent="0.4">
      <c r="A279" t="s">
        <v>317</v>
      </c>
      <c r="B279">
        <v>5</v>
      </c>
      <c r="C279" t="s">
        <v>1676</v>
      </c>
      <c r="D279" t="s">
        <v>1905</v>
      </c>
      <c r="E279" t="s">
        <v>1678</v>
      </c>
    </row>
    <row r="280" spans="1:5" x14ac:dyDescent="0.4">
      <c r="A280" t="s">
        <v>1906</v>
      </c>
    </row>
    <row r="281" spans="1:5" x14ac:dyDescent="0.4">
      <c r="A281" t="s">
        <v>1907</v>
      </c>
    </row>
    <row r="282" spans="1:5" x14ac:dyDescent="0.4">
      <c r="A282" t="s">
        <v>1908</v>
      </c>
    </row>
    <row r="283" spans="1:5" x14ac:dyDescent="0.4">
      <c r="A283" t="s">
        <v>323</v>
      </c>
      <c r="B283">
        <v>11</v>
      </c>
      <c r="C283" t="s">
        <v>1676</v>
      </c>
      <c r="D283" t="s">
        <v>1909</v>
      </c>
      <c r="E283" t="s">
        <v>1909</v>
      </c>
    </row>
    <row r="284" spans="1:5" x14ac:dyDescent="0.4">
      <c r="A284" t="s">
        <v>1910</v>
      </c>
    </row>
    <row r="285" spans="1:5" x14ac:dyDescent="0.4">
      <c r="A285" t="s">
        <v>325</v>
      </c>
      <c r="B285">
        <v>2</v>
      </c>
      <c r="C285" t="s">
        <v>1676</v>
      </c>
      <c r="D285" t="s">
        <v>1911</v>
      </c>
      <c r="E285" t="s">
        <v>1678</v>
      </c>
    </row>
    <row r="286" spans="1:5" x14ac:dyDescent="0.4">
      <c r="A286" t="s">
        <v>325</v>
      </c>
      <c r="B286">
        <v>8</v>
      </c>
      <c r="C286" t="s">
        <v>1676</v>
      </c>
      <c r="D286" t="s">
        <v>1912</v>
      </c>
      <c r="E286" t="s">
        <v>1678</v>
      </c>
    </row>
    <row r="287" spans="1:5" x14ac:dyDescent="0.4">
      <c r="A287" t="s">
        <v>325</v>
      </c>
      <c r="B287">
        <v>18</v>
      </c>
      <c r="C287" t="s">
        <v>1676</v>
      </c>
      <c r="D287" t="s">
        <v>1913</v>
      </c>
      <c r="E287" t="s">
        <v>1678</v>
      </c>
    </row>
    <row r="288" spans="1:5" x14ac:dyDescent="0.4">
      <c r="A288" t="s">
        <v>1914</v>
      </c>
    </row>
    <row r="289" spans="1:5" x14ac:dyDescent="0.4">
      <c r="A289" t="s">
        <v>1915</v>
      </c>
    </row>
    <row r="290" spans="1:5" x14ac:dyDescent="0.4">
      <c r="A290" t="s">
        <v>329</v>
      </c>
      <c r="B290">
        <v>14</v>
      </c>
      <c r="C290" t="s">
        <v>1676</v>
      </c>
      <c r="D290" t="s">
        <v>1829</v>
      </c>
      <c r="E290" t="s">
        <v>1678</v>
      </c>
    </row>
    <row r="291" spans="1:5" x14ac:dyDescent="0.4">
      <c r="A291" t="s">
        <v>1916</v>
      </c>
    </row>
    <row r="292" spans="1:5" x14ac:dyDescent="0.4">
      <c r="A292" t="s">
        <v>331</v>
      </c>
      <c r="B292">
        <v>11</v>
      </c>
      <c r="C292" t="s">
        <v>1676</v>
      </c>
      <c r="D292" t="s">
        <v>1917</v>
      </c>
      <c r="E292" t="s">
        <v>1917</v>
      </c>
    </row>
    <row r="293" spans="1:5" x14ac:dyDescent="0.4">
      <c r="A293" t="s">
        <v>1918</v>
      </c>
    </row>
    <row r="294" spans="1:5" x14ac:dyDescent="0.4">
      <c r="A294" t="s">
        <v>333</v>
      </c>
      <c r="B294">
        <v>2</v>
      </c>
      <c r="C294" t="s">
        <v>1676</v>
      </c>
      <c r="D294" t="s">
        <v>1919</v>
      </c>
      <c r="E294" t="s">
        <v>1678</v>
      </c>
    </row>
    <row r="295" spans="1:5" x14ac:dyDescent="0.4">
      <c r="A295" t="s">
        <v>1920</v>
      </c>
    </row>
    <row r="296" spans="1:5" x14ac:dyDescent="0.4">
      <c r="A296" t="s">
        <v>335</v>
      </c>
      <c r="B296">
        <v>1</v>
      </c>
      <c r="C296" t="s">
        <v>1676</v>
      </c>
      <c r="D296" t="s">
        <v>1689</v>
      </c>
      <c r="E296" t="s">
        <v>1678</v>
      </c>
    </row>
    <row r="297" spans="1:5" x14ac:dyDescent="0.4">
      <c r="A297" t="s">
        <v>335</v>
      </c>
      <c r="B297">
        <v>9</v>
      </c>
      <c r="C297" t="s">
        <v>1676</v>
      </c>
      <c r="D297" t="s">
        <v>1829</v>
      </c>
      <c r="E297" t="s">
        <v>1678</v>
      </c>
    </row>
    <row r="298" spans="1:5" x14ac:dyDescent="0.4">
      <c r="A298" t="s">
        <v>335</v>
      </c>
      <c r="B298">
        <v>20</v>
      </c>
      <c r="C298" t="s">
        <v>1676</v>
      </c>
      <c r="D298" t="s">
        <v>1734</v>
      </c>
      <c r="E298" t="s">
        <v>1678</v>
      </c>
    </row>
    <row r="299" spans="1:5" x14ac:dyDescent="0.4">
      <c r="A299" t="s">
        <v>1921</v>
      </c>
    </row>
    <row r="300" spans="1:5" x14ac:dyDescent="0.4">
      <c r="A300" t="s">
        <v>337</v>
      </c>
      <c r="B300">
        <v>5</v>
      </c>
      <c r="C300" t="s">
        <v>1676</v>
      </c>
      <c r="D300" t="s">
        <v>1922</v>
      </c>
      <c r="E300" t="s">
        <v>1678</v>
      </c>
    </row>
    <row r="301" spans="1:5" x14ac:dyDescent="0.4">
      <c r="A301" t="s">
        <v>1923</v>
      </c>
    </row>
    <row r="302" spans="1:5" x14ac:dyDescent="0.4">
      <c r="A302" t="s">
        <v>339</v>
      </c>
      <c r="B302">
        <v>4</v>
      </c>
      <c r="C302" t="s">
        <v>1676</v>
      </c>
      <c r="D302" t="s">
        <v>1719</v>
      </c>
      <c r="E302" t="s">
        <v>1678</v>
      </c>
    </row>
    <row r="303" spans="1:5" x14ac:dyDescent="0.4">
      <c r="A303" t="s">
        <v>339</v>
      </c>
      <c r="B303">
        <v>13</v>
      </c>
      <c r="C303" t="s">
        <v>1676</v>
      </c>
      <c r="D303" t="s">
        <v>1924</v>
      </c>
      <c r="E303" t="s">
        <v>1678</v>
      </c>
    </row>
    <row r="304" spans="1:5" x14ac:dyDescent="0.4">
      <c r="A304" t="s">
        <v>339</v>
      </c>
      <c r="B304">
        <v>14</v>
      </c>
      <c r="C304" t="s">
        <v>1676</v>
      </c>
      <c r="D304" t="s">
        <v>1911</v>
      </c>
      <c r="E304" t="s">
        <v>1678</v>
      </c>
    </row>
    <row r="305" spans="1:5" x14ac:dyDescent="0.4">
      <c r="A305" t="s">
        <v>339</v>
      </c>
      <c r="B305">
        <v>16</v>
      </c>
      <c r="C305" t="s">
        <v>1676</v>
      </c>
      <c r="D305" t="s">
        <v>1893</v>
      </c>
      <c r="E305" t="s">
        <v>1678</v>
      </c>
    </row>
    <row r="306" spans="1:5" x14ac:dyDescent="0.4">
      <c r="A306" t="s">
        <v>339</v>
      </c>
      <c r="B306">
        <v>21</v>
      </c>
      <c r="C306" t="s">
        <v>1676</v>
      </c>
      <c r="D306" t="s">
        <v>1682</v>
      </c>
      <c r="E306" t="s">
        <v>1678</v>
      </c>
    </row>
    <row r="307" spans="1:5" x14ac:dyDescent="0.4">
      <c r="A307" t="s">
        <v>1925</v>
      </c>
    </row>
    <row r="308" spans="1:5" x14ac:dyDescent="0.4">
      <c r="A308" t="s">
        <v>341</v>
      </c>
      <c r="B308">
        <v>2</v>
      </c>
      <c r="C308" t="s">
        <v>1676</v>
      </c>
      <c r="D308" t="s">
        <v>1709</v>
      </c>
      <c r="E308" t="s">
        <v>1678</v>
      </c>
    </row>
    <row r="309" spans="1:5" x14ac:dyDescent="0.4">
      <c r="A309" t="s">
        <v>341</v>
      </c>
      <c r="B309">
        <v>6</v>
      </c>
      <c r="C309" t="s">
        <v>1676</v>
      </c>
      <c r="D309" t="s">
        <v>1738</v>
      </c>
      <c r="E309" t="s">
        <v>1678</v>
      </c>
    </row>
    <row r="310" spans="1:5" x14ac:dyDescent="0.4">
      <c r="A310" t="s">
        <v>341</v>
      </c>
      <c r="B310">
        <v>14</v>
      </c>
      <c r="C310" t="s">
        <v>1676</v>
      </c>
      <c r="D310" t="s">
        <v>1926</v>
      </c>
      <c r="E310" t="s">
        <v>1678</v>
      </c>
    </row>
    <row r="311" spans="1:5" x14ac:dyDescent="0.4">
      <c r="A311" t="s">
        <v>1927</v>
      </c>
    </row>
    <row r="312" spans="1:5" x14ac:dyDescent="0.4">
      <c r="A312" t="s">
        <v>343</v>
      </c>
      <c r="B312">
        <v>5</v>
      </c>
      <c r="C312" t="s">
        <v>1676</v>
      </c>
      <c r="D312" t="s">
        <v>1689</v>
      </c>
      <c r="E312" t="s">
        <v>1678</v>
      </c>
    </row>
    <row r="313" spans="1:5" x14ac:dyDescent="0.4">
      <c r="A313" t="s">
        <v>343</v>
      </c>
      <c r="B313">
        <v>15</v>
      </c>
      <c r="C313" t="s">
        <v>1676</v>
      </c>
      <c r="D313" t="s">
        <v>1928</v>
      </c>
      <c r="E313" t="s">
        <v>1678</v>
      </c>
    </row>
    <row r="314" spans="1:5" x14ac:dyDescent="0.4">
      <c r="A314" t="s">
        <v>1929</v>
      </c>
    </row>
    <row r="315" spans="1:5" x14ac:dyDescent="0.4">
      <c r="A315" t="s">
        <v>1930</v>
      </c>
    </row>
    <row r="316" spans="1:5" x14ac:dyDescent="0.4">
      <c r="A316" t="s">
        <v>1931</v>
      </c>
    </row>
    <row r="317" spans="1:5" x14ac:dyDescent="0.4">
      <c r="A317" t="s">
        <v>1932</v>
      </c>
    </row>
    <row r="318" spans="1:5" x14ac:dyDescent="0.4">
      <c r="A318" t="s">
        <v>351</v>
      </c>
      <c r="B318">
        <v>6</v>
      </c>
      <c r="C318" t="s">
        <v>1676</v>
      </c>
      <c r="D318" t="s">
        <v>1789</v>
      </c>
      <c r="E318" t="s">
        <v>1678</v>
      </c>
    </row>
    <row r="319" spans="1:5" x14ac:dyDescent="0.4">
      <c r="A319" t="s">
        <v>351</v>
      </c>
      <c r="B319">
        <v>10</v>
      </c>
      <c r="C319" t="s">
        <v>1676</v>
      </c>
      <c r="D319" t="s">
        <v>1711</v>
      </c>
      <c r="E319" t="s">
        <v>1678</v>
      </c>
    </row>
    <row r="320" spans="1:5" x14ac:dyDescent="0.4">
      <c r="A320" t="s">
        <v>351</v>
      </c>
      <c r="B320">
        <v>16</v>
      </c>
      <c r="C320" t="s">
        <v>1676</v>
      </c>
      <c r="D320" t="s">
        <v>1933</v>
      </c>
      <c r="E320" t="s">
        <v>1678</v>
      </c>
    </row>
    <row r="321" spans="1:5" x14ac:dyDescent="0.4">
      <c r="A321" t="s">
        <v>1934</v>
      </c>
    </row>
    <row r="322" spans="1:5" x14ac:dyDescent="0.4">
      <c r="A322" t="s">
        <v>1935</v>
      </c>
    </row>
    <row r="323" spans="1:5" x14ac:dyDescent="0.4">
      <c r="A323" t="s">
        <v>1936</v>
      </c>
    </row>
    <row r="324" spans="1:5" x14ac:dyDescent="0.4">
      <c r="A324" t="s">
        <v>1937</v>
      </c>
    </row>
    <row r="325" spans="1:5" x14ac:dyDescent="0.4">
      <c r="A325" t="s">
        <v>359</v>
      </c>
      <c r="B325">
        <v>17</v>
      </c>
      <c r="C325" t="s">
        <v>1676</v>
      </c>
      <c r="D325" t="s">
        <v>1938</v>
      </c>
      <c r="E325" t="s">
        <v>1938</v>
      </c>
    </row>
    <row r="326" spans="1:5" x14ac:dyDescent="0.4">
      <c r="A326" t="s">
        <v>1939</v>
      </c>
    </row>
    <row r="327" spans="1:5" x14ac:dyDescent="0.4">
      <c r="A327" t="s">
        <v>1940</v>
      </c>
    </row>
    <row r="328" spans="1:5" x14ac:dyDescent="0.4">
      <c r="A328" t="s">
        <v>363</v>
      </c>
      <c r="B328">
        <v>4</v>
      </c>
      <c r="C328" t="s">
        <v>1676</v>
      </c>
      <c r="D328" t="s">
        <v>1719</v>
      </c>
      <c r="E328" t="s">
        <v>1678</v>
      </c>
    </row>
    <row r="329" spans="1:5" x14ac:dyDescent="0.4">
      <c r="A329" t="s">
        <v>363</v>
      </c>
      <c r="B329">
        <v>20</v>
      </c>
      <c r="C329" t="s">
        <v>1676</v>
      </c>
      <c r="D329" t="s">
        <v>1941</v>
      </c>
      <c r="E329" t="s">
        <v>1678</v>
      </c>
    </row>
    <row r="330" spans="1:5" x14ac:dyDescent="0.4">
      <c r="A330" t="s">
        <v>1942</v>
      </c>
    </row>
    <row r="331" spans="1:5" x14ac:dyDescent="0.4">
      <c r="A331" t="s">
        <v>1943</v>
      </c>
    </row>
    <row r="332" spans="1:5" x14ac:dyDescent="0.4">
      <c r="A332" t="s">
        <v>1944</v>
      </c>
    </row>
    <row r="333" spans="1:5" x14ac:dyDescent="0.4">
      <c r="A333" t="s">
        <v>369</v>
      </c>
      <c r="B333">
        <v>3</v>
      </c>
      <c r="C333" t="s">
        <v>1676</v>
      </c>
      <c r="D333" t="s">
        <v>1945</v>
      </c>
      <c r="E333" t="s">
        <v>1678</v>
      </c>
    </row>
    <row r="334" spans="1:5" x14ac:dyDescent="0.4">
      <c r="A334" t="s">
        <v>369</v>
      </c>
      <c r="B334">
        <v>11</v>
      </c>
      <c r="C334" t="s">
        <v>1676</v>
      </c>
      <c r="D334" t="s">
        <v>1706</v>
      </c>
      <c r="E334" t="s">
        <v>1678</v>
      </c>
    </row>
    <row r="335" spans="1:5" x14ac:dyDescent="0.4">
      <c r="A335" t="s">
        <v>1946</v>
      </c>
    </row>
    <row r="336" spans="1:5" x14ac:dyDescent="0.4">
      <c r="A336" t="s">
        <v>371</v>
      </c>
      <c r="B336">
        <v>8</v>
      </c>
      <c r="C336" t="s">
        <v>1676</v>
      </c>
      <c r="D336" t="s">
        <v>1947</v>
      </c>
      <c r="E336" t="s">
        <v>1678</v>
      </c>
    </row>
    <row r="337" spans="1:5" x14ac:dyDescent="0.4">
      <c r="A337" t="s">
        <v>371</v>
      </c>
      <c r="B337">
        <v>11</v>
      </c>
      <c r="C337" t="s">
        <v>1676</v>
      </c>
      <c r="D337" t="s">
        <v>1948</v>
      </c>
      <c r="E337" t="s">
        <v>1948</v>
      </c>
    </row>
    <row r="338" spans="1:5" x14ac:dyDescent="0.4">
      <c r="A338" t="s">
        <v>1949</v>
      </c>
    </row>
    <row r="339" spans="1:5" x14ac:dyDescent="0.4">
      <c r="A339" t="s">
        <v>373</v>
      </c>
      <c r="B339">
        <v>3</v>
      </c>
      <c r="C339" t="s">
        <v>1676</v>
      </c>
      <c r="D339" t="s">
        <v>1734</v>
      </c>
      <c r="E339" t="s">
        <v>1678</v>
      </c>
    </row>
    <row r="340" spans="1:5" x14ac:dyDescent="0.4">
      <c r="A340" t="s">
        <v>373</v>
      </c>
      <c r="B340">
        <v>18</v>
      </c>
      <c r="C340" t="s">
        <v>1676</v>
      </c>
      <c r="D340" t="s">
        <v>1698</v>
      </c>
      <c r="E340" t="s">
        <v>1678</v>
      </c>
    </row>
    <row r="341" spans="1:5" x14ac:dyDescent="0.4">
      <c r="A341" t="s">
        <v>1950</v>
      </c>
    </row>
    <row r="342" spans="1:5" x14ac:dyDescent="0.4">
      <c r="A342" t="s">
        <v>375</v>
      </c>
      <c r="B342">
        <v>16</v>
      </c>
      <c r="C342" t="s">
        <v>1676</v>
      </c>
      <c r="D342" t="s">
        <v>1709</v>
      </c>
      <c r="E342" t="s">
        <v>1678</v>
      </c>
    </row>
    <row r="343" spans="1:5" x14ac:dyDescent="0.4">
      <c r="A343" t="s">
        <v>1951</v>
      </c>
    </row>
    <row r="344" spans="1:5" x14ac:dyDescent="0.4">
      <c r="A344" t="s">
        <v>1952</v>
      </c>
    </row>
    <row r="345" spans="1:5" x14ac:dyDescent="0.4">
      <c r="A345" t="s">
        <v>1953</v>
      </c>
    </row>
    <row r="346" spans="1:5" x14ac:dyDescent="0.4">
      <c r="A346" t="s">
        <v>1954</v>
      </c>
    </row>
    <row r="347" spans="1:5" x14ac:dyDescent="0.4">
      <c r="A347" t="s">
        <v>1955</v>
      </c>
    </row>
    <row r="348" spans="1:5" x14ac:dyDescent="0.4">
      <c r="A348" t="s">
        <v>385</v>
      </c>
      <c r="B348">
        <v>16</v>
      </c>
      <c r="C348" t="s">
        <v>1676</v>
      </c>
      <c r="D348" t="s">
        <v>1702</v>
      </c>
      <c r="E348" t="s">
        <v>1678</v>
      </c>
    </row>
    <row r="349" spans="1:5" x14ac:dyDescent="0.4">
      <c r="A349" t="s">
        <v>385</v>
      </c>
      <c r="B349">
        <v>20</v>
      </c>
      <c r="C349" t="s">
        <v>1676</v>
      </c>
      <c r="D349" t="s">
        <v>1805</v>
      </c>
      <c r="E349" t="s">
        <v>1678</v>
      </c>
    </row>
    <row r="350" spans="1:5" x14ac:dyDescent="0.4">
      <c r="A350" t="s">
        <v>1956</v>
      </c>
    </row>
    <row r="351" spans="1:5" x14ac:dyDescent="0.4">
      <c r="A351" t="s">
        <v>1957</v>
      </c>
    </row>
    <row r="352" spans="1:5" x14ac:dyDescent="0.4">
      <c r="A352" t="s">
        <v>1958</v>
      </c>
    </row>
    <row r="353" spans="1:5" x14ac:dyDescent="0.4">
      <c r="A353" t="s">
        <v>391</v>
      </c>
      <c r="B353">
        <v>8</v>
      </c>
      <c r="C353" t="s">
        <v>1676</v>
      </c>
      <c r="D353" t="s">
        <v>1959</v>
      </c>
      <c r="E353" t="s">
        <v>1959</v>
      </c>
    </row>
    <row r="354" spans="1:5" x14ac:dyDescent="0.4">
      <c r="A354" t="s">
        <v>391</v>
      </c>
      <c r="B354">
        <v>11</v>
      </c>
      <c r="C354" t="s">
        <v>1676</v>
      </c>
      <c r="D354" t="s">
        <v>1960</v>
      </c>
      <c r="E354" t="s">
        <v>1960</v>
      </c>
    </row>
    <row r="355" spans="1:5" x14ac:dyDescent="0.4">
      <c r="A355" t="s">
        <v>1961</v>
      </c>
    </row>
    <row r="356" spans="1:5" x14ac:dyDescent="0.4">
      <c r="A356" t="s">
        <v>393</v>
      </c>
      <c r="B356">
        <v>1</v>
      </c>
      <c r="C356" t="s">
        <v>1676</v>
      </c>
      <c r="D356" t="s">
        <v>1962</v>
      </c>
      <c r="E356" t="s">
        <v>1678</v>
      </c>
    </row>
    <row r="357" spans="1:5" x14ac:dyDescent="0.4">
      <c r="A357" t="s">
        <v>1963</v>
      </c>
    </row>
    <row r="358" spans="1:5" x14ac:dyDescent="0.4">
      <c r="A358" t="s">
        <v>395</v>
      </c>
      <c r="B358">
        <v>11</v>
      </c>
      <c r="C358" t="s">
        <v>1676</v>
      </c>
      <c r="D358" t="s">
        <v>1964</v>
      </c>
      <c r="E358" t="s">
        <v>1964</v>
      </c>
    </row>
    <row r="359" spans="1:5" x14ac:dyDescent="0.4">
      <c r="A359" t="s">
        <v>395</v>
      </c>
      <c r="B359">
        <v>14</v>
      </c>
      <c r="C359" t="s">
        <v>1676</v>
      </c>
      <c r="D359" t="s">
        <v>1774</v>
      </c>
      <c r="E359" t="s">
        <v>1774</v>
      </c>
    </row>
    <row r="360" spans="1:5" x14ac:dyDescent="0.4">
      <c r="A360" t="s">
        <v>1965</v>
      </c>
    </row>
    <row r="361" spans="1:5" x14ac:dyDescent="0.4">
      <c r="A361" t="s">
        <v>397</v>
      </c>
      <c r="B361">
        <v>8</v>
      </c>
      <c r="C361" t="s">
        <v>1676</v>
      </c>
      <c r="D361" t="s">
        <v>1966</v>
      </c>
      <c r="E361" t="s">
        <v>1966</v>
      </c>
    </row>
    <row r="362" spans="1:5" x14ac:dyDescent="0.4">
      <c r="A362" t="s">
        <v>397</v>
      </c>
      <c r="B362">
        <v>11</v>
      </c>
      <c r="C362" t="s">
        <v>1676</v>
      </c>
      <c r="D362" t="s">
        <v>1967</v>
      </c>
      <c r="E362" t="s">
        <v>1967</v>
      </c>
    </row>
    <row r="363" spans="1:5" x14ac:dyDescent="0.4">
      <c r="A363" t="s">
        <v>1968</v>
      </c>
    </row>
    <row r="364" spans="1:5" x14ac:dyDescent="0.4">
      <c r="A364" t="s">
        <v>399</v>
      </c>
      <c r="B364">
        <v>2</v>
      </c>
      <c r="C364" t="s">
        <v>1676</v>
      </c>
      <c r="D364" t="s">
        <v>1726</v>
      </c>
      <c r="E364" t="s">
        <v>1678</v>
      </c>
    </row>
    <row r="365" spans="1:5" x14ac:dyDescent="0.4">
      <c r="A365" t="s">
        <v>399</v>
      </c>
      <c r="B365">
        <v>11</v>
      </c>
      <c r="C365" t="s">
        <v>1676</v>
      </c>
      <c r="D365" t="s">
        <v>1719</v>
      </c>
      <c r="E365" t="s">
        <v>1678</v>
      </c>
    </row>
    <row r="366" spans="1:5" x14ac:dyDescent="0.4">
      <c r="A366" t="s">
        <v>399</v>
      </c>
      <c r="B366">
        <v>14</v>
      </c>
      <c r="C366" t="s">
        <v>1676</v>
      </c>
      <c r="D366" t="s">
        <v>1969</v>
      </c>
      <c r="E366" t="s">
        <v>1678</v>
      </c>
    </row>
    <row r="367" spans="1:5" x14ac:dyDescent="0.4">
      <c r="A367" t="s">
        <v>1970</v>
      </c>
    </row>
    <row r="368" spans="1:5" x14ac:dyDescent="0.4">
      <c r="A368" t="s">
        <v>401</v>
      </c>
      <c r="B368">
        <v>11</v>
      </c>
      <c r="C368" t="s">
        <v>1676</v>
      </c>
      <c r="D368" t="s">
        <v>1971</v>
      </c>
      <c r="E368" t="s">
        <v>1971</v>
      </c>
    </row>
    <row r="369" spans="1:5" x14ac:dyDescent="0.4">
      <c r="A369" t="s">
        <v>1972</v>
      </c>
    </row>
    <row r="370" spans="1:5" x14ac:dyDescent="0.4">
      <c r="A370" t="s">
        <v>403</v>
      </c>
      <c r="B370">
        <v>14</v>
      </c>
      <c r="C370" t="s">
        <v>1676</v>
      </c>
      <c r="D370" t="s">
        <v>1973</v>
      </c>
      <c r="E370" t="s">
        <v>1973</v>
      </c>
    </row>
    <row r="371" spans="1:5" x14ac:dyDescent="0.4">
      <c r="A371" t="s">
        <v>1974</v>
      </c>
    </row>
    <row r="372" spans="1:5" x14ac:dyDescent="0.4">
      <c r="A372" t="s">
        <v>1975</v>
      </c>
    </row>
    <row r="373" spans="1:5" x14ac:dyDescent="0.4">
      <c r="A373" t="s">
        <v>407</v>
      </c>
      <c r="B373">
        <v>2</v>
      </c>
      <c r="C373" t="s">
        <v>1676</v>
      </c>
      <c r="D373" t="s">
        <v>1688</v>
      </c>
      <c r="E373" t="s">
        <v>1678</v>
      </c>
    </row>
    <row r="374" spans="1:5" x14ac:dyDescent="0.4">
      <c r="A374" t="s">
        <v>407</v>
      </c>
      <c r="B374">
        <v>6</v>
      </c>
      <c r="C374" t="s">
        <v>1676</v>
      </c>
      <c r="D374" t="s">
        <v>1736</v>
      </c>
      <c r="E374" t="s">
        <v>1678</v>
      </c>
    </row>
    <row r="375" spans="1:5" x14ac:dyDescent="0.4">
      <c r="A375" t="s">
        <v>407</v>
      </c>
      <c r="B375">
        <v>11</v>
      </c>
      <c r="C375" t="s">
        <v>1676</v>
      </c>
      <c r="D375" t="s">
        <v>1976</v>
      </c>
      <c r="E375" t="s">
        <v>1678</v>
      </c>
    </row>
    <row r="376" spans="1:5" x14ac:dyDescent="0.4">
      <c r="A376" t="s">
        <v>407</v>
      </c>
      <c r="B376">
        <v>15</v>
      </c>
      <c r="C376" t="s">
        <v>1676</v>
      </c>
      <c r="D376" t="s">
        <v>1977</v>
      </c>
      <c r="E376" t="s">
        <v>1678</v>
      </c>
    </row>
    <row r="377" spans="1:5" x14ac:dyDescent="0.4">
      <c r="A377" t="s">
        <v>1978</v>
      </c>
    </row>
    <row r="378" spans="1:5" x14ac:dyDescent="0.4">
      <c r="A378" t="s">
        <v>409</v>
      </c>
      <c r="B378">
        <v>6</v>
      </c>
      <c r="C378" t="s">
        <v>1676</v>
      </c>
      <c r="D378" t="s">
        <v>1694</v>
      </c>
      <c r="E378" t="s">
        <v>1678</v>
      </c>
    </row>
    <row r="379" spans="1:5" x14ac:dyDescent="0.4">
      <c r="A379" t="s">
        <v>1979</v>
      </c>
    </row>
    <row r="380" spans="1:5" x14ac:dyDescent="0.4">
      <c r="A380" t="s">
        <v>411</v>
      </c>
      <c r="B380">
        <v>3</v>
      </c>
      <c r="C380" t="s">
        <v>1676</v>
      </c>
      <c r="D380" t="s">
        <v>1980</v>
      </c>
      <c r="E380" t="s">
        <v>1678</v>
      </c>
    </row>
    <row r="381" spans="1:5" x14ac:dyDescent="0.4">
      <c r="A381" t="s">
        <v>411</v>
      </c>
      <c r="B381">
        <v>12</v>
      </c>
      <c r="C381" t="s">
        <v>1676</v>
      </c>
      <c r="D381" t="s">
        <v>1981</v>
      </c>
      <c r="E381" t="s">
        <v>1981</v>
      </c>
    </row>
    <row r="382" spans="1:5" x14ac:dyDescent="0.4">
      <c r="A382" t="s">
        <v>1982</v>
      </c>
    </row>
    <row r="383" spans="1:5" x14ac:dyDescent="0.4">
      <c r="A383" t="s">
        <v>413</v>
      </c>
      <c r="B383">
        <v>11</v>
      </c>
      <c r="C383" t="s">
        <v>1676</v>
      </c>
      <c r="D383" t="s">
        <v>1983</v>
      </c>
      <c r="E383" t="s">
        <v>1983</v>
      </c>
    </row>
    <row r="384" spans="1:5" x14ac:dyDescent="0.4">
      <c r="A384" t="s">
        <v>1984</v>
      </c>
    </row>
    <row r="385" spans="1:5" x14ac:dyDescent="0.4">
      <c r="A385" t="s">
        <v>1985</v>
      </c>
    </row>
    <row r="386" spans="1:5" x14ac:dyDescent="0.4">
      <c r="A386" t="s">
        <v>1986</v>
      </c>
    </row>
    <row r="387" spans="1:5" x14ac:dyDescent="0.4">
      <c r="A387" t="s">
        <v>1987</v>
      </c>
    </row>
    <row r="388" spans="1:5" x14ac:dyDescent="0.4">
      <c r="A388" t="s">
        <v>1988</v>
      </c>
    </row>
    <row r="389" spans="1:5" x14ac:dyDescent="0.4">
      <c r="A389" t="s">
        <v>423</v>
      </c>
      <c r="B389">
        <v>11</v>
      </c>
      <c r="C389" t="s">
        <v>1676</v>
      </c>
      <c r="D389" t="s">
        <v>1989</v>
      </c>
      <c r="E389" t="s">
        <v>1989</v>
      </c>
    </row>
    <row r="390" spans="1:5" x14ac:dyDescent="0.4">
      <c r="A390" t="s">
        <v>423</v>
      </c>
      <c r="B390">
        <v>19</v>
      </c>
      <c r="C390" t="s">
        <v>1676</v>
      </c>
      <c r="D390" t="s">
        <v>1922</v>
      </c>
      <c r="E390" t="s">
        <v>1678</v>
      </c>
    </row>
    <row r="391" spans="1:5" x14ac:dyDescent="0.4">
      <c r="A391" t="s">
        <v>1990</v>
      </c>
    </row>
    <row r="392" spans="1:5" x14ac:dyDescent="0.4">
      <c r="A392" t="s">
        <v>425</v>
      </c>
      <c r="B392">
        <v>4</v>
      </c>
      <c r="C392" t="s">
        <v>1676</v>
      </c>
      <c r="D392" t="s">
        <v>1991</v>
      </c>
      <c r="E392" t="s">
        <v>1678</v>
      </c>
    </row>
    <row r="393" spans="1:5" x14ac:dyDescent="0.4">
      <c r="A393" t="s">
        <v>1992</v>
      </c>
    </row>
    <row r="394" spans="1:5" x14ac:dyDescent="0.4">
      <c r="A394" t="s">
        <v>427</v>
      </c>
      <c r="B394">
        <v>1</v>
      </c>
      <c r="C394" t="s">
        <v>1676</v>
      </c>
      <c r="D394" t="s">
        <v>1993</v>
      </c>
      <c r="E394" t="s">
        <v>1678</v>
      </c>
    </row>
    <row r="395" spans="1:5" x14ac:dyDescent="0.4">
      <c r="A395" t="s">
        <v>427</v>
      </c>
      <c r="B395">
        <v>9</v>
      </c>
      <c r="C395" t="s">
        <v>1676</v>
      </c>
      <c r="D395" t="s">
        <v>1682</v>
      </c>
      <c r="E395" t="s">
        <v>1678</v>
      </c>
    </row>
    <row r="396" spans="1:5" x14ac:dyDescent="0.4">
      <c r="A396" t="s">
        <v>427</v>
      </c>
      <c r="B396">
        <v>13</v>
      </c>
      <c r="C396" t="s">
        <v>1676</v>
      </c>
      <c r="D396" t="s">
        <v>1685</v>
      </c>
      <c r="E396" t="s">
        <v>1678</v>
      </c>
    </row>
    <row r="397" spans="1:5" x14ac:dyDescent="0.4">
      <c r="A397" t="s">
        <v>427</v>
      </c>
      <c r="B397">
        <v>21</v>
      </c>
      <c r="C397" t="s">
        <v>1676</v>
      </c>
      <c r="D397" t="s">
        <v>1719</v>
      </c>
      <c r="E397" t="s">
        <v>1678</v>
      </c>
    </row>
    <row r="398" spans="1:5" x14ac:dyDescent="0.4">
      <c r="A398" t="s">
        <v>1994</v>
      </c>
    </row>
    <row r="399" spans="1:5" x14ac:dyDescent="0.4">
      <c r="A399" t="s">
        <v>429</v>
      </c>
      <c r="B399">
        <v>20</v>
      </c>
      <c r="C399" t="s">
        <v>1676</v>
      </c>
      <c r="D399" t="s">
        <v>1995</v>
      </c>
      <c r="E399" t="s">
        <v>1678</v>
      </c>
    </row>
    <row r="400" spans="1:5" x14ac:dyDescent="0.4">
      <c r="A400" t="s">
        <v>1996</v>
      </c>
    </row>
    <row r="401" spans="1:5" x14ac:dyDescent="0.4">
      <c r="A401" t="s">
        <v>1997</v>
      </c>
    </row>
    <row r="402" spans="1:5" x14ac:dyDescent="0.4">
      <c r="A402" t="s">
        <v>433</v>
      </c>
      <c r="B402">
        <v>2</v>
      </c>
      <c r="C402" t="s">
        <v>1676</v>
      </c>
      <c r="D402" t="s">
        <v>1922</v>
      </c>
      <c r="E402" t="s">
        <v>1678</v>
      </c>
    </row>
    <row r="403" spans="1:5" x14ac:dyDescent="0.4">
      <c r="A403" t="s">
        <v>433</v>
      </c>
      <c r="B403">
        <v>6</v>
      </c>
      <c r="C403" t="s">
        <v>1676</v>
      </c>
      <c r="D403" t="s">
        <v>1704</v>
      </c>
      <c r="E403" t="s">
        <v>1678</v>
      </c>
    </row>
    <row r="404" spans="1:5" x14ac:dyDescent="0.4">
      <c r="A404" t="s">
        <v>433</v>
      </c>
      <c r="B404">
        <v>9</v>
      </c>
      <c r="C404" t="s">
        <v>1676</v>
      </c>
      <c r="D404" t="s">
        <v>1703</v>
      </c>
      <c r="E404" t="s">
        <v>1678</v>
      </c>
    </row>
    <row r="405" spans="1:5" x14ac:dyDescent="0.4">
      <c r="A405" t="s">
        <v>433</v>
      </c>
      <c r="B405">
        <v>19</v>
      </c>
      <c r="C405" t="s">
        <v>1676</v>
      </c>
      <c r="D405" t="s">
        <v>1696</v>
      </c>
      <c r="E405" t="s">
        <v>1678</v>
      </c>
    </row>
    <row r="406" spans="1:5" x14ac:dyDescent="0.4">
      <c r="A406" t="s">
        <v>433</v>
      </c>
      <c r="B406">
        <v>21</v>
      </c>
      <c r="C406" t="s">
        <v>1676</v>
      </c>
      <c r="D406" t="s">
        <v>1749</v>
      </c>
      <c r="E406" t="s">
        <v>1678</v>
      </c>
    </row>
    <row r="407" spans="1:5" x14ac:dyDescent="0.4">
      <c r="A407" t="s">
        <v>1998</v>
      </c>
    </row>
    <row r="408" spans="1:5" x14ac:dyDescent="0.4">
      <c r="A408" t="s">
        <v>435</v>
      </c>
      <c r="B408">
        <v>11</v>
      </c>
      <c r="C408" t="s">
        <v>1676</v>
      </c>
      <c r="D408" t="s">
        <v>1999</v>
      </c>
      <c r="E408" t="s">
        <v>1999</v>
      </c>
    </row>
    <row r="409" spans="1:5" x14ac:dyDescent="0.4">
      <c r="A409" t="s">
        <v>2000</v>
      </c>
    </row>
    <row r="410" spans="1:5" x14ac:dyDescent="0.4">
      <c r="A410" t="s">
        <v>437</v>
      </c>
      <c r="B410">
        <v>11</v>
      </c>
      <c r="C410" t="s">
        <v>1676</v>
      </c>
      <c r="D410" t="s">
        <v>2001</v>
      </c>
      <c r="E410" t="s">
        <v>2001</v>
      </c>
    </row>
    <row r="411" spans="1:5" x14ac:dyDescent="0.4">
      <c r="A411" t="s">
        <v>2002</v>
      </c>
    </row>
    <row r="412" spans="1:5" x14ac:dyDescent="0.4">
      <c r="A412" t="s">
        <v>439</v>
      </c>
      <c r="B412">
        <v>11</v>
      </c>
      <c r="C412" t="s">
        <v>1676</v>
      </c>
      <c r="D412" t="s">
        <v>2003</v>
      </c>
      <c r="E412" t="s">
        <v>2003</v>
      </c>
    </row>
    <row r="413" spans="1:5" x14ac:dyDescent="0.4">
      <c r="A413" t="s">
        <v>439</v>
      </c>
      <c r="B413">
        <v>21</v>
      </c>
      <c r="C413" t="s">
        <v>1676</v>
      </c>
      <c r="D413" t="s">
        <v>1911</v>
      </c>
      <c r="E413" t="s">
        <v>1678</v>
      </c>
    </row>
    <row r="414" spans="1:5" x14ac:dyDescent="0.4">
      <c r="A414" t="s">
        <v>2004</v>
      </c>
    </row>
    <row r="415" spans="1:5" x14ac:dyDescent="0.4">
      <c r="A415" t="s">
        <v>2005</v>
      </c>
    </row>
    <row r="416" spans="1:5" x14ac:dyDescent="0.4">
      <c r="A416" t="s">
        <v>2006</v>
      </c>
    </row>
    <row r="417" spans="1:5" x14ac:dyDescent="0.4">
      <c r="A417" t="s">
        <v>445</v>
      </c>
      <c r="B417">
        <v>5</v>
      </c>
      <c r="C417" t="s">
        <v>1676</v>
      </c>
      <c r="D417" t="s">
        <v>1871</v>
      </c>
      <c r="E417" t="s">
        <v>1678</v>
      </c>
    </row>
    <row r="418" spans="1:5" x14ac:dyDescent="0.4">
      <c r="A418" t="s">
        <v>445</v>
      </c>
      <c r="B418">
        <v>15</v>
      </c>
      <c r="C418" t="s">
        <v>1676</v>
      </c>
      <c r="D418" t="s">
        <v>2007</v>
      </c>
      <c r="E418" t="s">
        <v>1678</v>
      </c>
    </row>
    <row r="419" spans="1:5" x14ac:dyDescent="0.4">
      <c r="A419" t="s">
        <v>445</v>
      </c>
      <c r="B419">
        <v>19</v>
      </c>
      <c r="C419" t="s">
        <v>1676</v>
      </c>
      <c r="D419" t="s">
        <v>1698</v>
      </c>
      <c r="E419" t="s">
        <v>1678</v>
      </c>
    </row>
    <row r="420" spans="1:5" x14ac:dyDescent="0.4">
      <c r="A420" t="s">
        <v>2008</v>
      </c>
    </row>
    <row r="421" spans="1:5" x14ac:dyDescent="0.4">
      <c r="A421" t="s">
        <v>447</v>
      </c>
      <c r="B421">
        <v>8</v>
      </c>
      <c r="C421" t="s">
        <v>1676</v>
      </c>
      <c r="D421" t="s">
        <v>1745</v>
      </c>
      <c r="E421" t="s">
        <v>1678</v>
      </c>
    </row>
    <row r="422" spans="1:5" x14ac:dyDescent="0.4">
      <c r="A422" t="s">
        <v>447</v>
      </c>
      <c r="B422">
        <v>17</v>
      </c>
      <c r="C422" t="s">
        <v>1676</v>
      </c>
      <c r="D422" t="s">
        <v>2009</v>
      </c>
      <c r="E422" t="s">
        <v>2009</v>
      </c>
    </row>
    <row r="423" spans="1:5" x14ac:dyDescent="0.4">
      <c r="A423" t="s">
        <v>2010</v>
      </c>
    </row>
    <row r="424" spans="1:5" x14ac:dyDescent="0.4">
      <c r="A424" t="s">
        <v>449</v>
      </c>
      <c r="B424">
        <v>20</v>
      </c>
      <c r="C424" t="s">
        <v>1676</v>
      </c>
      <c r="D424" t="s">
        <v>2011</v>
      </c>
      <c r="E424" t="s">
        <v>2011</v>
      </c>
    </row>
    <row r="425" spans="1:5" x14ac:dyDescent="0.4">
      <c r="A425" t="s">
        <v>2012</v>
      </c>
    </row>
    <row r="426" spans="1:5" x14ac:dyDescent="0.4">
      <c r="A426" t="s">
        <v>2013</v>
      </c>
    </row>
    <row r="427" spans="1:5" x14ac:dyDescent="0.4">
      <c r="A427" t="s">
        <v>453</v>
      </c>
      <c r="B427">
        <v>10</v>
      </c>
      <c r="C427" t="s">
        <v>1676</v>
      </c>
      <c r="D427" t="s">
        <v>1785</v>
      </c>
      <c r="E427" t="s">
        <v>1678</v>
      </c>
    </row>
    <row r="428" spans="1:5" x14ac:dyDescent="0.4">
      <c r="A428" t="s">
        <v>453</v>
      </c>
      <c r="B428">
        <v>14</v>
      </c>
      <c r="C428" t="s">
        <v>1676</v>
      </c>
      <c r="D428" t="s">
        <v>1815</v>
      </c>
      <c r="E428" t="s">
        <v>1678</v>
      </c>
    </row>
    <row r="429" spans="1:5" x14ac:dyDescent="0.4">
      <c r="A429" t="s">
        <v>2014</v>
      </c>
    </row>
    <row r="430" spans="1:5" x14ac:dyDescent="0.4">
      <c r="A430" t="s">
        <v>2015</v>
      </c>
    </row>
    <row r="431" spans="1:5" x14ac:dyDescent="0.4">
      <c r="A431" t="s">
        <v>457</v>
      </c>
      <c r="B431">
        <v>12</v>
      </c>
      <c r="C431" t="s">
        <v>1676</v>
      </c>
      <c r="D431" t="s">
        <v>2016</v>
      </c>
      <c r="E431" t="s">
        <v>1678</v>
      </c>
    </row>
    <row r="432" spans="1:5" x14ac:dyDescent="0.4">
      <c r="A432" t="s">
        <v>2017</v>
      </c>
    </row>
    <row r="433" spans="1:5" x14ac:dyDescent="0.4">
      <c r="A433" t="s">
        <v>459</v>
      </c>
      <c r="B433">
        <v>5</v>
      </c>
      <c r="C433" t="s">
        <v>1676</v>
      </c>
      <c r="D433" t="s">
        <v>1749</v>
      </c>
      <c r="E433" t="s">
        <v>1678</v>
      </c>
    </row>
    <row r="434" spans="1:5" x14ac:dyDescent="0.4">
      <c r="A434" t="s">
        <v>459</v>
      </c>
      <c r="B434">
        <v>11</v>
      </c>
      <c r="C434" t="s">
        <v>1676</v>
      </c>
      <c r="D434" t="s">
        <v>1742</v>
      </c>
      <c r="E434" t="s">
        <v>1678</v>
      </c>
    </row>
    <row r="435" spans="1:5" x14ac:dyDescent="0.4">
      <c r="A435" t="s">
        <v>459</v>
      </c>
      <c r="B435">
        <v>15</v>
      </c>
      <c r="C435" t="s">
        <v>1676</v>
      </c>
      <c r="D435" t="s">
        <v>2018</v>
      </c>
      <c r="E435" t="s">
        <v>1678</v>
      </c>
    </row>
    <row r="436" spans="1:5" x14ac:dyDescent="0.4">
      <c r="A436" t="s">
        <v>459</v>
      </c>
      <c r="B436">
        <v>20</v>
      </c>
      <c r="C436" t="s">
        <v>1676</v>
      </c>
      <c r="D436" t="s">
        <v>1864</v>
      </c>
      <c r="E436" t="s">
        <v>1678</v>
      </c>
    </row>
    <row r="437" spans="1:5" x14ac:dyDescent="0.4">
      <c r="A437" t="s">
        <v>2019</v>
      </c>
    </row>
    <row r="438" spans="1:5" x14ac:dyDescent="0.4">
      <c r="A438" t="s">
        <v>461</v>
      </c>
      <c r="B438">
        <v>8</v>
      </c>
      <c r="C438" t="s">
        <v>1676</v>
      </c>
      <c r="D438" t="s">
        <v>1719</v>
      </c>
      <c r="E438" t="s">
        <v>1678</v>
      </c>
    </row>
    <row r="439" spans="1:5" x14ac:dyDescent="0.4">
      <c r="A439" t="s">
        <v>2020</v>
      </c>
    </row>
    <row r="440" spans="1:5" x14ac:dyDescent="0.4">
      <c r="A440" t="s">
        <v>2021</v>
      </c>
    </row>
    <row r="441" spans="1:5" x14ac:dyDescent="0.4">
      <c r="A441" t="s">
        <v>465</v>
      </c>
      <c r="B441">
        <v>8</v>
      </c>
      <c r="C441" t="s">
        <v>1676</v>
      </c>
      <c r="D441" t="s">
        <v>1726</v>
      </c>
      <c r="E441" t="s">
        <v>1678</v>
      </c>
    </row>
    <row r="442" spans="1:5" x14ac:dyDescent="0.4">
      <c r="A442" t="s">
        <v>465</v>
      </c>
      <c r="B442">
        <v>20</v>
      </c>
      <c r="C442" t="s">
        <v>1676</v>
      </c>
      <c r="D442" t="s">
        <v>1682</v>
      </c>
      <c r="E442" t="s">
        <v>1678</v>
      </c>
    </row>
    <row r="443" spans="1:5" x14ac:dyDescent="0.4">
      <c r="A443" t="s">
        <v>2022</v>
      </c>
    </row>
    <row r="444" spans="1:5" x14ac:dyDescent="0.4">
      <c r="A444" t="s">
        <v>467</v>
      </c>
      <c r="B444">
        <v>7</v>
      </c>
      <c r="C444" t="s">
        <v>1676</v>
      </c>
      <c r="D444" t="s">
        <v>1744</v>
      </c>
      <c r="E444" t="s">
        <v>1678</v>
      </c>
    </row>
    <row r="445" spans="1:5" x14ac:dyDescent="0.4">
      <c r="A445" t="s">
        <v>2023</v>
      </c>
    </row>
    <row r="446" spans="1:5" x14ac:dyDescent="0.4">
      <c r="A446" t="s">
        <v>2024</v>
      </c>
    </row>
    <row r="447" spans="1:5" x14ac:dyDescent="0.4">
      <c r="A447" t="s">
        <v>471</v>
      </c>
      <c r="B447">
        <v>6</v>
      </c>
      <c r="C447" t="s">
        <v>1676</v>
      </c>
      <c r="D447" t="s">
        <v>1871</v>
      </c>
      <c r="E447" t="s">
        <v>1678</v>
      </c>
    </row>
    <row r="448" spans="1:5" x14ac:dyDescent="0.4">
      <c r="A448" t="s">
        <v>471</v>
      </c>
      <c r="B448">
        <v>10</v>
      </c>
      <c r="C448" t="s">
        <v>1676</v>
      </c>
      <c r="D448" t="s">
        <v>2025</v>
      </c>
      <c r="E448" t="s">
        <v>1678</v>
      </c>
    </row>
    <row r="449" spans="1:5" x14ac:dyDescent="0.4">
      <c r="A449" t="s">
        <v>471</v>
      </c>
      <c r="B449">
        <v>16</v>
      </c>
      <c r="C449" t="s">
        <v>1676</v>
      </c>
      <c r="D449" t="s">
        <v>1780</v>
      </c>
      <c r="E449" t="s">
        <v>1678</v>
      </c>
    </row>
    <row r="450" spans="1:5" x14ac:dyDescent="0.4">
      <c r="A450" t="s">
        <v>2026</v>
      </c>
    </row>
    <row r="451" spans="1:5" x14ac:dyDescent="0.4">
      <c r="A451" t="s">
        <v>2027</v>
      </c>
    </row>
    <row r="452" spans="1:5" x14ac:dyDescent="0.4">
      <c r="A452" t="s">
        <v>475</v>
      </c>
      <c r="B452">
        <v>4</v>
      </c>
      <c r="C452" t="s">
        <v>1676</v>
      </c>
      <c r="D452" t="s">
        <v>1687</v>
      </c>
      <c r="E452" t="s">
        <v>1678</v>
      </c>
    </row>
    <row r="453" spans="1:5" x14ac:dyDescent="0.4">
      <c r="A453" t="s">
        <v>475</v>
      </c>
      <c r="B453">
        <v>8</v>
      </c>
      <c r="C453" t="s">
        <v>1676</v>
      </c>
      <c r="D453" t="s">
        <v>2028</v>
      </c>
      <c r="E453" t="s">
        <v>2028</v>
      </c>
    </row>
    <row r="454" spans="1:5" x14ac:dyDescent="0.4">
      <c r="A454" t="s">
        <v>2029</v>
      </c>
    </row>
    <row r="455" spans="1:5" x14ac:dyDescent="0.4">
      <c r="A455" t="s">
        <v>477</v>
      </c>
      <c r="B455">
        <v>1</v>
      </c>
      <c r="C455" t="s">
        <v>1676</v>
      </c>
      <c r="D455" t="s">
        <v>1780</v>
      </c>
      <c r="E455" t="s">
        <v>1678</v>
      </c>
    </row>
    <row r="456" spans="1:5" x14ac:dyDescent="0.4">
      <c r="A456" t="s">
        <v>477</v>
      </c>
      <c r="B456">
        <v>2</v>
      </c>
      <c r="C456" t="s">
        <v>1676</v>
      </c>
      <c r="D456" t="s">
        <v>1780</v>
      </c>
      <c r="E456" t="s">
        <v>1678</v>
      </c>
    </row>
    <row r="457" spans="1:5" x14ac:dyDescent="0.4">
      <c r="A457" t="s">
        <v>477</v>
      </c>
      <c r="B457">
        <v>21</v>
      </c>
      <c r="C457" t="s">
        <v>1676</v>
      </c>
      <c r="D457" t="s">
        <v>1744</v>
      </c>
      <c r="E457" t="s">
        <v>1678</v>
      </c>
    </row>
    <row r="458" spans="1:5" x14ac:dyDescent="0.4">
      <c r="A458" t="s">
        <v>2030</v>
      </c>
    </row>
    <row r="459" spans="1:5" x14ac:dyDescent="0.4">
      <c r="A459" t="s">
        <v>479</v>
      </c>
      <c r="B459">
        <v>2</v>
      </c>
      <c r="C459" t="s">
        <v>1676</v>
      </c>
      <c r="D459" t="s">
        <v>1893</v>
      </c>
      <c r="E459" t="s">
        <v>1678</v>
      </c>
    </row>
    <row r="460" spans="1:5" x14ac:dyDescent="0.4">
      <c r="A460" t="s">
        <v>479</v>
      </c>
      <c r="B460">
        <v>6</v>
      </c>
      <c r="C460" t="s">
        <v>1676</v>
      </c>
      <c r="D460" t="s">
        <v>1705</v>
      </c>
      <c r="E460" t="s">
        <v>1678</v>
      </c>
    </row>
    <row r="461" spans="1:5" x14ac:dyDescent="0.4">
      <c r="A461" t="s">
        <v>479</v>
      </c>
      <c r="B461">
        <v>12</v>
      </c>
      <c r="C461" t="s">
        <v>1676</v>
      </c>
      <c r="D461" t="s">
        <v>2031</v>
      </c>
      <c r="E461" t="s">
        <v>1678</v>
      </c>
    </row>
    <row r="462" spans="1:5" x14ac:dyDescent="0.4">
      <c r="A462" t="s">
        <v>2032</v>
      </c>
    </row>
    <row r="463" spans="1:5" x14ac:dyDescent="0.4">
      <c r="A463" t="s">
        <v>481</v>
      </c>
      <c r="B463">
        <v>5</v>
      </c>
      <c r="C463" t="s">
        <v>1676</v>
      </c>
      <c r="D463" t="s">
        <v>2033</v>
      </c>
      <c r="E463" t="s">
        <v>1678</v>
      </c>
    </row>
    <row r="464" spans="1:5" x14ac:dyDescent="0.4">
      <c r="A464" t="s">
        <v>2034</v>
      </c>
    </row>
    <row r="465" spans="1:5" x14ac:dyDescent="0.4">
      <c r="A465" t="s">
        <v>483</v>
      </c>
      <c r="B465">
        <v>2</v>
      </c>
      <c r="C465" t="s">
        <v>1676</v>
      </c>
      <c r="D465" t="s">
        <v>2035</v>
      </c>
      <c r="E465" t="s">
        <v>2035</v>
      </c>
    </row>
    <row r="466" spans="1:5" x14ac:dyDescent="0.4">
      <c r="A466" t="s">
        <v>483</v>
      </c>
      <c r="B466">
        <v>11</v>
      </c>
      <c r="C466" t="s">
        <v>1676</v>
      </c>
      <c r="D466" t="s">
        <v>2036</v>
      </c>
      <c r="E466" t="s">
        <v>2036</v>
      </c>
    </row>
    <row r="467" spans="1:5" x14ac:dyDescent="0.4">
      <c r="A467" t="s">
        <v>483</v>
      </c>
      <c r="B467">
        <v>14</v>
      </c>
      <c r="C467" t="s">
        <v>1676</v>
      </c>
      <c r="D467" t="s">
        <v>2037</v>
      </c>
      <c r="E467" t="s">
        <v>2037</v>
      </c>
    </row>
    <row r="468" spans="1:5" x14ac:dyDescent="0.4">
      <c r="A468" t="s">
        <v>483</v>
      </c>
      <c r="B468">
        <v>17</v>
      </c>
      <c r="C468" t="s">
        <v>1676</v>
      </c>
      <c r="D468" t="s">
        <v>2038</v>
      </c>
      <c r="E468" t="s">
        <v>2038</v>
      </c>
    </row>
    <row r="469" spans="1:5" x14ac:dyDescent="0.4">
      <c r="A469" t="s">
        <v>2039</v>
      </c>
    </row>
    <row r="470" spans="1:5" x14ac:dyDescent="0.4">
      <c r="A470" t="s">
        <v>2040</v>
      </c>
    </row>
    <row r="471" spans="1:5" x14ac:dyDescent="0.4">
      <c r="A471" t="s">
        <v>2041</v>
      </c>
    </row>
    <row r="472" spans="1:5" x14ac:dyDescent="0.4">
      <c r="A472" t="s">
        <v>489</v>
      </c>
      <c r="B472">
        <v>5</v>
      </c>
      <c r="C472" t="s">
        <v>1676</v>
      </c>
      <c r="D472" t="s">
        <v>2042</v>
      </c>
      <c r="E472" t="s">
        <v>1678</v>
      </c>
    </row>
    <row r="473" spans="1:5" x14ac:dyDescent="0.4">
      <c r="A473" t="s">
        <v>489</v>
      </c>
      <c r="B473">
        <v>15</v>
      </c>
      <c r="C473" t="s">
        <v>1676</v>
      </c>
      <c r="D473" t="s">
        <v>2043</v>
      </c>
      <c r="E473" t="s">
        <v>1678</v>
      </c>
    </row>
    <row r="474" spans="1:5" x14ac:dyDescent="0.4">
      <c r="A474" t="s">
        <v>489</v>
      </c>
      <c r="B474">
        <v>19</v>
      </c>
      <c r="C474" t="s">
        <v>1676</v>
      </c>
      <c r="D474" t="s">
        <v>2044</v>
      </c>
      <c r="E474" t="s">
        <v>1678</v>
      </c>
    </row>
    <row r="475" spans="1:5" x14ac:dyDescent="0.4">
      <c r="A475" t="s">
        <v>2045</v>
      </c>
    </row>
    <row r="476" spans="1:5" x14ac:dyDescent="0.4">
      <c r="A476" t="s">
        <v>491</v>
      </c>
      <c r="B476">
        <v>20</v>
      </c>
      <c r="C476" t="s">
        <v>1676</v>
      </c>
      <c r="D476" t="s">
        <v>1705</v>
      </c>
      <c r="E476" t="s">
        <v>1678</v>
      </c>
    </row>
    <row r="477" spans="1:5" x14ac:dyDescent="0.4">
      <c r="A477" t="s">
        <v>2046</v>
      </c>
    </row>
    <row r="478" spans="1:5" x14ac:dyDescent="0.4">
      <c r="A478" t="s">
        <v>493</v>
      </c>
      <c r="B478">
        <v>5</v>
      </c>
      <c r="C478" t="s">
        <v>1676</v>
      </c>
      <c r="D478" t="s">
        <v>2047</v>
      </c>
      <c r="E478" t="s">
        <v>1678</v>
      </c>
    </row>
    <row r="479" spans="1:5" x14ac:dyDescent="0.4">
      <c r="A479" t="s">
        <v>2048</v>
      </c>
    </row>
    <row r="480" spans="1:5" x14ac:dyDescent="0.4">
      <c r="A480" t="s">
        <v>2049</v>
      </c>
    </row>
    <row r="481" spans="1:5" x14ac:dyDescent="0.4">
      <c r="A481" t="s">
        <v>497</v>
      </c>
      <c r="B481">
        <v>14</v>
      </c>
      <c r="C481" t="s">
        <v>1676</v>
      </c>
      <c r="D481" t="s">
        <v>2050</v>
      </c>
      <c r="E481" t="s">
        <v>2050</v>
      </c>
    </row>
    <row r="482" spans="1:5" x14ac:dyDescent="0.4">
      <c r="A482" t="s">
        <v>2051</v>
      </c>
    </row>
    <row r="483" spans="1:5" x14ac:dyDescent="0.4">
      <c r="A483" t="s">
        <v>499</v>
      </c>
      <c r="B483">
        <v>11</v>
      </c>
      <c r="C483" t="s">
        <v>1676</v>
      </c>
      <c r="D483" t="s">
        <v>2052</v>
      </c>
      <c r="E483" t="s">
        <v>2052</v>
      </c>
    </row>
    <row r="484" spans="1:5" x14ac:dyDescent="0.4">
      <c r="A484" t="s">
        <v>499</v>
      </c>
      <c r="B484">
        <v>20</v>
      </c>
      <c r="C484" t="s">
        <v>1676</v>
      </c>
      <c r="D484" t="s">
        <v>2053</v>
      </c>
      <c r="E484" t="s">
        <v>2053</v>
      </c>
    </row>
    <row r="485" spans="1:5" x14ac:dyDescent="0.4">
      <c r="A485" t="s">
        <v>2054</v>
      </c>
    </row>
    <row r="486" spans="1:5" x14ac:dyDescent="0.4">
      <c r="A486" t="s">
        <v>2055</v>
      </c>
    </row>
    <row r="487" spans="1:5" x14ac:dyDescent="0.4">
      <c r="A487" t="s">
        <v>2056</v>
      </c>
    </row>
    <row r="488" spans="1:5" x14ac:dyDescent="0.4">
      <c r="A488" t="s">
        <v>505</v>
      </c>
      <c r="B488">
        <v>2</v>
      </c>
      <c r="C488" t="s">
        <v>1676</v>
      </c>
      <c r="D488" t="s">
        <v>2057</v>
      </c>
      <c r="E488" t="s">
        <v>1678</v>
      </c>
    </row>
    <row r="489" spans="1:5" x14ac:dyDescent="0.4">
      <c r="A489" t="s">
        <v>505</v>
      </c>
      <c r="B489">
        <v>6</v>
      </c>
      <c r="C489" t="s">
        <v>1676</v>
      </c>
      <c r="D489" t="s">
        <v>2058</v>
      </c>
      <c r="E489" t="s">
        <v>1678</v>
      </c>
    </row>
    <row r="490" spans="1:5" x14ac:dyDescent="0.4">
      <c r="A490" t="s">
        <v>505</v>
      </c>
      <c r="B490">
        <v>12</v>
      </c>
      <c r="C490" t="s">
        <v>1676</v>
      </c>
      <c r="D490" t="s">
        <v>2059</v>
      </c>
      <c r="E490" t="s">
        <v>1678</v>
      </c>
    </row>
    <row r="491" spans="1:5" x14ac:dyDescent="0.4">
      <c r="A491" t="s">
        <v>505</v>
      </c>
      <c r="B491">
        <v>16</v>
      </c>
      <c r="C491" t="s">
        <v>1676</v>
      </c>
      <c r="D491" t="s">
        <v>2059</v>
      </c>
      <c r="E491" t="s">
        <v>1678</v>
      </c>
    </row>
    <row r="492" spans="1:5" x14ac:dyDescent="0.4">
      <c r="A492" t="s">
        <v>2060</v>
      </c>
    </row>
    <row r="493" spans="1:5" x14ac:dyDescent="0.4">
      <c r="A493" t="s">
        <v>507</v>
      </c>
      <c r="B493">
        <v>17</v>
      </c>
      <c r="C493" t="s">
        <v>1676</v>
      </c>
      <c r="D493" t="s">
        <v>1829</v>
      </c>
      <c r="E493" t="s">
        <v>1678</v>
      </c>
    </row>
    <row r="494" spans="1:5" x14ac:dyDescent="0.4">
      <c r="A494" t="s">
        <v>2061</v>
      </c>
    </row>
    <row r="495" spans="1:5" x14ac:dyDescent="0.4">
      <c r="A495" t="s">
        <v>509</v>
      </c>
      <c r="B495">
        <v>11</v>
      </c>
      <c r="C495" t="s">
        <v>1676</v>
      </c>
      <c r="D495" t="s">
        <v>2062</v>
      </c>
      <c r="E495" t="s">
        <v>2062</v>
      </c>
    </row>
    <row r="496" spans="1:5" x14ac:dyDescent="0.4">
      <c r="A496" t="s">
        <v>2063</v>
      </c>
    </row>
    <row r="497" spans="1:5" x14ac:dyDescent="0.4">
      <c r="A497" t="s">
        <v>511</v>
      </c>
      <c r="B497">
        <v>11</v>
      </c>
      <c r="C497" t="s">
        <v>1676</v>
      </c>
      <c r="D497" t="s">
        <v>1740</v>
      </c>
      <c r="E497" t="s">
        <v>1678</v>
      </c>
    </row>
    <row r="498" spans="1:5" x14ac:dyDescent="0.4">
      <c r="A498" t="s">
        <v>2064</v>
      </c>
    </row>
    <row r="499" spans="1:5" x14ac:dyDescent="0.4">
      <c r="A499" t="s">
        <v>513</v>
      </c>
      <c r="B499">
        <v>18</v>
      </c>
      <c r="C499" t="s">
        <v>1676</v>
      </c>
      <c r="D499" t="s">
        <v>1821</v>
      </c>
      <c r="E499" t="s">
        <v>1678</v>
      </c>
    </row>
    <row r="500" spans="1:5" x14ac:dyDescent="0.4">
      <c r="A500" t="s">
        <v>2065</v>
      </c>
    </row>
    <row r="501" spans="1:5" x14ac:dyDescent="0.4">
      <c r="A501" t="s">
        <v>2066</v>
      </c>
    </row>
    <row r="502" spans="1:5" x14ac:dyDescent="0.4">
      <c r="A502" t="s">
        <v>2067</v>
      </c>
    </row>
    <row r="503" spans="1:5" x14ac:dyDescent="0.4">
      <c r="A503" t="s">
        <v>519</v>
      </c>
      <c r="B503">
        <v>15</v>
      </c>
      <c r="C503" t="s">
        <v>1676</v>
      </c>
      <c r="D503" t="s">
        <v>1945</v>
      </c>
      <c r="E503" t="s">
        <v>1678</v>
      </c>
    </row>
    <row r="504" spans="1:5" x14ac:dyDescent="0.4">
      <c r="A504" t="s">
        <v>2068</v>
      </c>
    </row>
    <row r="505" spans="1:5" x14ac:dyDescent="0.4">
      <c r="A505" t="s">
        <v>521</v>
      </c>
      <c r="B505">
        <v>9</v>
      </c>
      <c r="C505" t="s">
        <v>1676</v>
      </c>
      <c r="D505" t="s">
        <v>1922</v>
      </c>
      <c r="E505" t="s">
        <v>1678</v>
      </c>
    </row>
    <row r="506" spans="1:5" x14ac:dyDescent="0.4">
      <c r="A506" t="s">
        <v>521</v>
      </c>
      <c r="B506">
        <v>10</v>
      </c>
      <c r="C506" t="s">
        <v>1676</v>
      </c>
      <c r="D506" t="s">
        <v>1744</v>
      </c>
      <c r="E506" t="s">
        <v>1678</v>
      </c>
    </row>
    <row r="507" spans="1:5" x14ac:dyDescent="0.4">
      <c r="A507" t="s">
        <v>2069</v>
      </c>
    </row>
    <row r="508" spans="1:5" x14ac:dyDescent="0.4">
      <c r="A508" t="s">
        <v>2070</v>
      </c>
    </row>
    <row r="509" spans="1:5" x14ac:dyDescent="0.4">
      <c r="A509" t="s">
        <v>2071</v>
      </c>
    </row>
    <row r="510" spans="1:5" x14ac:dyDescent="0.4">
      <c r="A510" t="s">
        <v>527</v>
      </c>
      <c r="B510">
        <v>20</v>
      </c>
      <c r="C510" t="s">
        <v>1676</v>
      </c>
      <c r="D510" t="s">
        <v>1691</v>
      </c>
      <c r="E510" t="s">
        <v>1678</v>
      </c>
    </row>
    <row r="511" spans="1:5" x14ac:dyDescent="0.4">
      <c r="A511" t="s">
        <v>2072</v>
      </c>
    </row>
    <row r="512" spans="1:5" x14ac:dyDescent="0.4">
      <c r="A512" t="s">
        <v>529</v>
      </c>
      <c r="B512">
        <v>14</v>
      </c>
      <c r="C512" t="s">
        <v>1676</v>
      </c>
      <c r="D512" t="s">
        <v>1780</v>
      </c>
      <c r="E512" t="s">
        <v>1678</v>
      </c>
    </row>
    <row r="513" spans="1:5" x14ac:dyDescent="0.4">
      <c r="A513" t="s">
        <v>2073</v>
      </c>
    </row>
    <row r="514" spans="1:5" x14ac:dyDescent="0.4">
      <c r="A514" t="s">
        <v>531</v>
      </c>
      <c r="B514">
        <v>4</v>
      </c>
      <c r="C514" t="s">
        <v>1676</v>
      </c>
      <c r="D514" t="s">
        <v>1687</v>
      </c>
      <c r="E514" t="s">
        <v>1678</v>
      </c>
    </row>
    <row r="515" spans="1:5" x14ac:dyDescent="0.4">
      <c r="A515" t="s">
        <v>2074</v>
      </c>
    </row>
    <row r="516" spans="1:5" x14ac:dyDescent="0.4">
      <c r="A516" t="s">
        <v>533</v>
      </c>
      <c r="B516">
        <v>12</v>
      </c>
      <c r="C516" t="s">
        <v>1676</v>
      </c>
      <c r="D516" t="s">
        <v>2075</v>
      </c>
      <c r="E516" t="s">
        <v>1678</v>
      </c>
    </row>
    <row r="517" spans="1:5" x14ac:dyDescent="0.4">
      <c r="A517" t="s">
        <v>2076</v>
      </c>
    </row>
    <row r="518" spans="1:5" x14ac:dyDescent="0.4">
      <c r="A518" t="s">
        <v>2077</v>
      </c>
    </row>
    <row r="519" spans="1:5" x14ac:dyDescent="0.4">
      <c r="A519" t="s">
        <v>537</v>
      </c>
      <c r="B519">
        <v>4</v>
      </c>
      <c r="C519" t="s">
        <v>1676</v>
      </c>
      <c r="D519" t="s">
        <v>1698</v>
      </c>
      <c r="E519" t="s">
        <v>1678</v>
      </c>
    </row>
    <row r="520" spans="1:5" x14ac:dyDescent="0.4">
      <c r="A520" t="s">
        <v>537</v>
      </c>
      <c r="B520">
        <v>13</v>
      </c>
      <c r="C520" t="s">
        <v>1676</v>
      </c>
      <c r="D520" t="s">
        <v>1689</v>
      </c>
      <c r="E520" t="s">
        <v>1678</v>
      </c>
    </row>
    <row r="521" spans="1:5" x14ac:dyDescent="0.4">
      <c r="A521" t="s">
        <v>537</v>
      </c>
      <c r="B521">
        <v>16</v>
      </c>
      <c r="C521" t="s">
        <v>1676</v>
      </c>
      <c r="D521" t="s">
        <v>1734</v>
      </c>
      <c r="E521" t="s">
        <v>1678</v>
      </c>
    </row>
    <row r="522" spans="1:5" x14ac:dyDescent="0.4">
      <c r="A522" t="s">
        <v>2078</v>
      </c>
    </row>
    <row r="523" spans="1:5" x14ac:dyDescent="0.4">
      <c r="A523" t="s">
        <v>539</v>
      </c>
      <c r="B523">
        <v>7</v>
      </c>
      <c r="C523" t="s">
        <v>1676</v>
      </c>
      <c r="D523" t="s">
        <v>1740</v>
      </c>
      <c r="E523" t="s">
        <v>1678</v>
      </c>
    </row>
    <row r="524" spans="1:5" x14ac:dyDescent="0.4">
      <c r="A524" t="s">
        <v>539</v>
      </c>
      <c r="B524">
        <v>11</v>
      </c>
      <c r="C524" t="s">
        <v>1676</v>
      </c>
      <c r="D524" t="s">
        <v>2079</v>
      </c>
      <c r="E524" t="s">
        <v>1678</v>
      </c>
    </row>
    <row r="525" spans="1:5" x14ac:dyDescent="0.4">
      <c r="A525" t="s">
        <v>2080</v>
      </c>
    </row>
    <row r="526" spans="1:5" x14ac:dyDescent="0.4">
      <c r="A526" t="s">
        <v>541</v>
      </c>
      <c r="B526">
        <v>4</v>
      </c>
      <c r="C526" t="s">
        <v>1676</v>
      </c>
      <c r="D526" t="s">
        <v>2081</v>
      </c>
      <c r="E526" t="s">
        <v>1678</v>
      </c>
    </row>
    <row r="527" spans="1:5" x14ac:dyDescent="0.4">
      <c r="A527" t="s">
        <v>541</v>
      </c>
      <c r="B527">
        <v>11</v>
      </c>
      <c r="C527" t="s">
        <v>1676</v>
      </c>
      <c r="D527" t="s">
        <v>1696</v>
      </c>
      <c r="E527" t="s">
        <v>1678</v>
      </c>
    </row>
    <row r="528" spans="1:5" x14ac:dyDescent="0.4">
      <c r="A528" t="s">
        <v>2082</v>
      </c>
    </row>
    <row r="529" spans="1:5" x14ac:dyDescent="0.4">
      <c r="A529" t="s">
        <v>543</v>
      </c>
      <c r="B529">
        <v>18</v>
      </c>
      <c r="C529" t="s">
        <v>1676</v>
      </c>
      <c r="D529" t="s">
        <v>1945</v>
      </c>
      <c r="E529" t="s">
        <v>1678</v>
      </c>
    </row>
    <row r="530" spans="1:5" x14ac:dyDescent="0.4">
      <c r="A530" t="s">
        <v>2083</v>
      </c>
    </row>
    <row r="531" spans="1:5" x14ac:dyDescent="0.4">
      <c r="A531" t="s">
        <v>2084</v>
      </c>
    </row>
    <row r="532" spans="1:5" x14ac:dyDescent="0.4">
      <c r="A532" t="s">
        <v>547</v>
      </c>
      <c r="B532">
        <v>8</v>
      </c>
      <c r="C532" t="s">
        <v>1676</v>
      </c>
      <c r="D532" t="s">
        <v>1751</v>
      </c>
      <c r="E532" t="s">
        <v>1678</v>
      </c>
    </row>
    <row r="533" spans="1:5" x14ac:dyDescent="0.4">
      <c r="A533" t="s">
        <v>547</v>
      </c>
      <c r="B533">
        <v>9</v>
      </c>
      <c r="C533" t="s">
        <v>1676</v>
      </c>
      <c r="D533" t="s">
        <v>1725</v>
      </c>
      <c r="E533" t="s">
        <v>1678</v>
      </c>
    </row>
    <row r="534" spans="1:5" x14ac:dyDescent="0.4">
      <c r="A534" t="s">
        <v>2085</v>
      </c>
    </row>
    <row r="535" spans="1:5" x14ac:dyDescent="0.4">
      <c r="A535" t="s">
        <v>2086</v>
      </c>
    </row>
    <row r="536" spans="1:5" x14ac:dyDescent="0.4">
      <c r="A536" t="s">
        <v>551</v>
      </c>
      <c r="B536">
        <v>9</v>
      </c>
      <c r="C536" t="s">
        <v>1676</v>
      </c>
      <c r="D536" t="s">
        <v>1682</v>
      </c>
      <c r="E536" t="s">
        <v>1678</v>
      </c>
    </row>
    <row r="537" spans="1:5" x14ac:dyDescent="0.4">
      <c r="A537" t="s">
        <v>551</v>
      </c>
      <c r="B537">
        <v>10</v>
      </c>
      <c r="C537" t="s">
        <v>1676</v>
      </c>
      <c r="D537" t="s">
        <v>1699</v>
      </c>
      <c r="E537" t="s">
        <v>1678</v>
      </c>
    </row>
    <row r="538" spans="1:5" x14ac:dyDescent="0.4">
      <c r="A538" t="s">
        <v>551</v>
      </c>
      <c r="B538">
        <v>13</v>
      </c>
      <c r="C538" t="s">
        <v>1676</v>
      </c>
      <c r="D538" t="s">
        <v>1737</v>
      </c>
      <c r="E538" t="s">
        <v>1678</v>
      </c>
    </row>
    <row r="539" spans="1:5" x14ac:dyDescent="0.4">
      <c r="A539" t="s">
        <v>551</v>
      </c>
      <c r="B539">
        <v>21</v>
      </c>
      <c r="C539" t="s">
        <v>1676</v>
      </c>
      <c r="D539" t="s">
        <v>1709</v>
      </c>
      <c r="E539" t="s">
        <v>1678</v>
      </c>
    </row>
    <row r="540" spans="1:5" x14ac:dyDescent="0.4">
      <c r="A540" t="s">
        <v>2087</v>
      </c>
    </row>
    <row r="541" spans="1:5" x14ac:dyDescent="0.4">
      <c r="A541" t="s">
        <v>553</v>
      </c>
      <c r="B541">
        <v>13</v>
      </c>
      <c r="C541" t="s">
        <v>1676</v>
      </c>
      <c r="D541" t="s">
        <v>1749</v>
      </c>
      <c r="E541" t="s">
        <v>1678</v>
      </c>
    </row>
    <row r="542" spans="1:5" x14ac:dyDescent="0.4">
      <c r="A542" t="s">
        <v>2088</v>
      </c>
    </row>
    <row r="543" spans="1:5" x14ac:dyDescent="0.4">
      <c r="A543" t="s">
        <v>2089</v>
      </c>
    </row>
    <row r="544" spans="1:5" x14ac:dyDescent="0.4">
      <c r="A544" t="s">
        <v>557</v>
      </c>
      <c r="B544">
        <v>11</v>
      </c>
      <c r="C544" t="s">
        <v>1676</v>
      </c>
      <c r="D544" t="s">
        <v>2090</v>
      </c>
      <c r="E544" t="s">
        <v>1678</v>
      </c>
    </row>
    <row r="545" spans="1:5" x14ac:dyDescent="0.4">
      <c r="A545" t="s">
        <v>2091</v>
      </c>
    </row>
    <row r="546" spans="1:5" x14ac:dyDescent="0.4">
      <c r="A546" t="s">
        <v>2092</v>
      </c>
    </row>
    <row r="547" spans="1:5" x14ac:dyDescent="0.4">
      <c r="A547" t="s">
        <v>561</v>
      </c>
      <c r="B547">
        <v>6</v>
      </c>
      <c r="C547" t="s">
        <v>1676</v>
      </c>
      <c r="D547" t="s">
        <v>1785</v>
      </c>
      <c r="E547" t="s">
        <v>1678</v>
      </c>
    </row>
    <row r="548" spans="1:5" x14ac:dyDescent="0.4">
      <c r="A548" t="s">
        <v>2093</v>
      </c>
    </row>
    <row r="549" spans="1:5" x14ac:dyDescent="0.4">
      <c r="A549" t="s">
        <v>563</v>
      </c>
      <c r="B549">
        <v>5</v>
      </c>
      <c r="C549" t="s">
        <v>1676</v>
      </c>
      <c r="D549" t="s">
        <v>1995</v>
      </c>
      <c r="E549" t="s">
        <v>1678</v>
      </c>
    </row>
    <row r="550" spans="1:5" x14ac:dyDescent="0.4">
      <c r="A550" t="s">
        <v>563</v>
      </c>
      <c r="B550">
        <v>11</v>
      </c>
      <c r="C550" t="s">
        <v>1676</v>
      </c>
      <c r="D550" t="s">
        <v>1719</v>
      </c>
      <c r="E550" t="s">
        <v>1678</v>
      </c>
    </row>
    <row r="551" spans="1:5" x14ac:dyDescent="0.4">
      <c r="A551" t="s">
        <v>563</v>
      </c>
      <c r="B551">
        <v>14</v>
      </c>
      <c r="C551" t="s">
        <v>1676</v>
      </c>
      <c r="D551" t="s">
        <v>1706</v>
      </c>
      <c r="E551" t="s">
        <v>1678</v>
      </c>
    </row>
    <row r="552" spans="1:5" x14ac:dyDescent="0.4">
      <c r="A552" t="s">
        <v>2094</v>
      </c>
    </row>
    <row r="553" spans="1:5" x14ac:dyDescent="0.4">
      <c r="A553" t="s">
        <v>2095</v>
      </c>
    </row>
    <row r="554" spans="1:5" x14ac:dyDescent="0.4">
      <c r="A554" t="s">
        <v>567</v>
      </c>
      <c r="B554">
        <v>14</v>
      </c>
      <c r="C554" t="s">
        <v>1676</v>
      </c>
      <c r="D554" t="s">
        <v>2096</v>
      </c>
      <c r="E554" t="s">
        <v>1678</v>
      </c>
    </row>
    <row r="555" spans="1:5" x14ac:dyDescent="0.4">
      <c r="A555" t="s">
        <v>567</v>
      </c>
      <c r="B555">
        <v>20</v>
      </c>
      <c r="C555" t="s">
        <v>1676</v>
      </c>
      <c r="D555" t="s">
        <v>2097</v>
      </c>
      <c r="E555" t="s">
        <v>1678</v>
      </c>
    </row>
    <row r="556" spans="1:5" x14ac:dyDescent="0.4">
      <c r="A556" t="s">
        <v>2098</v>
      </c>
    </row>
    <row r="557" spans="1:5" x14ac:dyDescent="0.4">
      <c r="A557" t="s">
        <v>2099</v>
      </c>
    </row>
    <row r="558" spans="1:5" x14ac:dyDescent="0.4">
      <c r="A558" t="s">
        <v>571</v>
      </c>
      <c r="B558">
        <v>3</v>
      </c>
      <c r="C558" t="s">
        <v>1676</v>
      </c>
      <c r="D558" t="s">
        <v>1828</v>
      </c>
      <c r="E558" t="s">
        <v>1678</v>
      </c>
    </row>
    <row r="559" spans="1:5" x14ac:dyDescent="0.4">
      <c r="A559" t="s">
        <v>571</v>
      </c>
      <c r="B559">
        <v>4</v>
      </c>
      <c r="C559" t="s">
        <v>1676</v>
      </c>
      <c r="D559" t="s">
        <v>1677</v>
      </c>
      <c r="E559" t="s">
        <v>1678</v>
      </c>
    </row>
    <row r="560" spans="1:5" x14ac:dyDescent="0.4">
      <c r="A560" t="s">
        <v>571</v>
      </c>
      <c r="B560">
        <v>6</v>
      </c>
      <c r="C560" t="s">
        <v>1676</v>
      </c>
      <c r="D560" t="s">
        <v>1828</v>
      </c>
      <c r="E560" t="s">
        <v>1678</v>
      </c>
    </row>
    <row r="561" spans="1:5" x14ac:dyDescent="0.4">
      <c r="A561" t="s">
        <v>571</v>
      </c>
      <c r="B561">
        <v>9</v>
      </c>
      <c r="C561" t="s">
        <v>1676</v>
      </c>
      <c r="D561" t="s">
        <v>2100</v>
      </c>
      <c r="E561" t="s">
        <v>1678</v>
      </c>
    </row>
    <row r="562" spans="1:5" x14ac:dyDescent="0.4">
      <c r="A562" t="s">
        <v>571</v>
      </c>
      <c r="B562">
        <v>18</v>
      </c>
      <c r="C562" t="s">
        <v>1676</v>
      </c>
      <c r="D562" t="s">
        <v>1696</v>
      </c>
      <c r="E562" t="s">
        <v>1678</v>
      </c>
    </row>
    <row r="563" spans="1:5" x14ac:dyDescent="0.4">
      <c r="A563" t="s">
        <v>2101</v>
      </c>
    </row>
    <row r="564" spans="1:5" x14ac:dyDescent="0.4">
      <c r="A564" t="s">
        <v>573</v>
      </c>
      <c r="B564">
        <v>12</v>
      </c>
      <c r="C564" t="s">
        <v>1676</v>
      </c>
      <c r="D564" t="s">
        <v>1719</v>
      </c>
      <c r="E564" t="s">
        <v>1678</v>
      </c>
    </row>
    <row r="565" spans="1:5" x14ac:dyDescent="0.4">
      <c r="A565" t="s">
        <v>573</v>
      </c>
      <c r="B565">
        <v>14</v>
      </c>
      <c r="C565" t="s">
        <v>1676</v>
      </c>
      <c r="D565" t="s">
        <v>2102</v>
      </c>
      <c r="E565" t="s">
        <v>1678</v>
      </c>
    </row>
    <row r="566" spans="1:5" x14ac:dyDescent="0.4">
      <c r="A566" t="s">
        <v>2103</v>
      </c>
    </row>
    <row r="567" spans="1:5" x14ac:dyDescent="0.4">
      <c r="A567" t="s">
        <v>2104</v>
      </c>
    </row>
    <row r="568" spans="1:5" x14ac:dyDescent="0.4">
      <c r="A568" t="s">
        <v>577</v>
      </c>
      <c r="B568">
        <v>21</v>
      </c>
      <c r="C568" t="s">
        <v>1676</v>
      </c>
      <c r="D568" t="s">
        <v>2102</v>
      </c>
      <c r="E568" t="s">
        <v>1678</v>
      </c>
    </row>
    <row r="569" spans="1:5" x14ac:dyDescent="0.4">
      <c r="A569" t="s">
        <v>2105</v>
      </c>
    </row>
    <row r="570" spans="1:5" x14ac:dyDescent="0.4">
      <c r="A570" t="s">
        <v>2106</v>
      </c>
    </row>
    <row r="571" spans="1:5" x14ac:dyDescent="0.4">
      <c r="A571" t="s">
        <v>581</v>
      </c>
      <c r="B571">
        <v>3</v>
      </c>
      <c r="C571" t="s">
        <v>1676</v>
      </c>
      <c r="D571" t="s">
        <v>1682</v>
      </c>
      <c r="E571" t="s">
        <v>1678</v>
      </c>
    </row>
    <row r="572" spans="1:5" x14ac:dyDescent="0.4">
      <c r="A572" t="s">
        <v>581</v>
      </c>
      <c r="B572">
        <v>5</v>
      </c>
      <c r="C572" t="s">
        <v>1676</v>
      </c>
      <c r="D572" t="s">
        <v>1864</v>
      </c>
      <c r="E572" t="s">
        <v>1678</v>
      </c>
    </row>
    <row r="573" spans="1:5" x14ac:dyDescent="0.4">
      <c r="A573" t="s">
        <v>581</v>
      </c>
      <c r="B573">
        <v>7</v>
      </c>
      <c r="C573" t="s">
        <v>1676</v>
      </c>
      <c r="D573" t="s">
        <v>1829</v>
      </c>
      <c r="E573" t="s">
        <v>1678</v>
      </c>
    </row>
    <row r="574" spans="1:5" x14ac:dyDescent="0.4">
      <c r="A574" t="s">
        <v>2107</v>
      </c>
    </row>
    <row r="575" spans="1:5" x14ac:dyDescent="0.4">
      <c r="A575" t="s">
        <v>583</v>
      </c>
      <c r="B575">
        <v>12</v>
      </c>
      <c r="C575" t="s">
        <v>1676</v>
      </c>
      <c r="D575" t="s">
        <v>2102</v>
      </c>
      <c r="E575" t="s">
        <v>1678</v>
      </c>
    </row>
    <row r="576" spans="1:5" x14ac:dyDescent="0.4">
      <c r="A576" t="s">
        <v>583</v>
      </c>
      <c r="B576">
        <v>21</v>
      </c>
      <c r="C576" t="s">
        <v>1676</v>
      </c>
      <c r="D576" t="s">
        <v>1815</v>
      </c>
      <c r="E576" t="s">
        <v>1678</v>
      </c>
    </row>
    <row r="577" spans="1:5" x14ac:dyDescent="0.4">
      <c r="A577" t="s">
        <v>2108</v>
      </c>
    </row>
    <row r="578" spans="1:5" x14ac:dyDescent="0.4">
      <c r="A578" t="s">
        <v>585</v>
      </c>
      <c r="B578">
        <v>12</v>
      </c>
      <c r="C578" t="s">
        <v>1676</v>
      </c>
      <c r="D578" t="s">
        <v>2081</v>
      </c>
      <c r="E578" t="s">
        <v>1678</v>
      </c>
    </row>
    <row r="579" spans="1:5" x14ac:dyDescent="0.4">
      <c r="A579" t="s">
        <v>585</v>
      </c>
      <c r="B579">
        <v>14</v>
      </c>
      <c r="C579" t="s">
        <v>1676</v>
      </c>
      <c r="D579" t="s">
        <v>2109</v>
      </c>
      <c r="E579" t="s">
        <v>1678</v>
      </c>
    </row>
    <row r="580" spans="1:5" x14ac:dyDescent="0.4">
      <c r="A580" t="s">
        <v>585</v>
      </c>
      <c r="B580">
        <v>16</v>
      </c>
      <c r="C580" t="s">
        <v>1676</v>
      </c>
      <c r="D580" t="s">
        <v>1726</v>
      </c>
      <c r="E580" t="s">
        <v>1678</v>
      </c>
    </row>
    <row r="581" spans="1:5" x14ac:dyDescent="0.4">
      <c r="A581" t="s">
        <v>585</v>
      </c>
      <c r="B581">
        <v>19</v>
      </c>
      <c r="C581" t="s">
        <v>1676</v>
      </c>
      <c r="D581" t="s">
        <v>2110</v>
      </c>
      <c r="E581" t="s">
        <v>1678</v>
      </c>
    </row>
    <row r="582" spans="1:5" x14ac:dyDescent="0.4">
      <c r="A582" t="s">
        <v>2111</v>
      </c>
    </row>
    <row r="583" spans="1:5" x14ac:dyDescent="0.4">
      <c r="A583" t="s">
        <v>587</v>
      </c>
      <c r="B583">
        <v>11</v>
      </c>
      <c r="C583" t="s">
        <v>1676</v>
      </c>
      <c r="D583" t="s">
        <v>1691</v>
      </c>
      <c r="E583" t="s">
        <v>1678</v>
      </c>
    </row>
    <row r="584" spans="1:5" x14ac:dyDescent="0.4">
      <c r="A584" t="s">
        <v>587</v>
      </c>
      <c r="B584">
        <v>15</v>
      </c>
      <c r="C584" t="s">
        <v>1676</v>
      </c>
      <c r="D584" t="s">
        <v>2112</v>
      </c>
      <c r="E584" t="s">
        <v>1678</v>
      </c>
    </row>
    <row r="585" spans="1:5" x14ac:dyDescent="0.4">
      <c r="A585" t="s">
        <v>587</v>
      </c>
      <c r="B585">
        <v>20</v>
      </c>
      <c r="C585" t="s">
        <v>1676</v>
      </c>
      <c r="D585" t="s">
        <v>1785</v>
      </c>
      <c r="E585" t="s">
        <v>1678</v>
      </c>
    </row>
    <row r="586" spans="1:5" x14ac:dyDescent="0.4">
      <c r="A586" t="s">
        <v>2113</v>
      </c>
    </row>
    <row r="587" spans="1:5" x14ac:dyDescent="0.4">
      <c r="A587" t="s">
        <v>589</v>
      </c>
      <c r="B587">
        <v>3</v>
      </c>
      <c r="C587" t="s">
        <v>1676</v>
      </c>
      <c r="D587" t="s">
        <v>1738</v>
      </c>
      <c r="E587" t="s">
        <v>1678</v>
      </c>
    </row>
    <row r="588" spans="1:5" x14ac:dyDescent="0.4">
      <c r="A588" t="s">
        <v>589</v>
      </c>
      <c r="B588">
        <v>9</v>
      </c>
      <c r="C588" t="s">
        <v>1676</v>
      </c>
      <c r="D588" t="s">
        <v>1690</v>
      </c>
      <c r="E588" t="s">
        <v>1678</v>
      </c>
    </row>
    <row r="589" spans="1:5" x14ac:dyDescent="0.4">
      <c r="A589" t="s">
        <v>589</v>
      </c>
      <c r="B589">
        <v>12</v>
      </c>
      <c r="C589" t="s">
        <v>1676</v>
      </c>
      <c r="D589" t="s">
        <v>2112</v>
      </c>
      <c r="E589" t="s">
        <v>1678</v>
      </c>
    </row>
    <row r="590" spans="1:5" x14ac:dyDescent="0.4">
      <c r="A590" t="s">
        <v>589</v>
      </c>
      <c r="B590">
        <v>14</v>
      </c>
      <c r="C590" t="s">
        <v>1676</v>
      </c>
      <c r="D590" t="s">
        <v>1740</v>
      </c>
      <c r="E590" t="s">
        <v>1678</v>
      </c>
    </row>
    <row r="591" spans="1:5" x14ac:dyDescent="0.4">
      <c r="A591" t="s">
        <v>589</v>
      </c>
      <c r="B591">
        <v>15</v>
      </c>
      <c r="C591" t="s">
        <v>1676</v>
      </c>
      <c r="D591" t="s">
        <v>2114</v>
      </c>
      <c r="E591" t="s">
        <v>1678</v>
      </c>
    </row>
    <row r="592" spans="1:5" x14ac:dyDescent="0.4">
      <c r="A592" t="s">
        <v>2115</v>
      </c>
    </row>
    <row r="593" spans="1:5" x14ac:dyDescent="0.4">
      <c r="A593" t="s">
        <v>591</v>
      </c>
      <c r="B593">
        <v>5</v>
      </c>
      <c r="C593" t="s">
        <v>1676</v>
      </c>
      <c r="D593" t="s">
        <v>2097</v>
      </c>
      <c r="E593" t="s">
        <v>1678</v>
      </c>
    </row>
    <row r="594" spans="1:5" x14ac:dyDescent="0.4">
      <c r="A594" t="s">
        <v>2116</v>
      </c>
    </row>
    <row r="595" spans="1:5" x14ac:dyDescent="0.4">
      <c r="A595" t="s">
        <v>2117</v>
      </c>
    </row>
    <row r="596" spans="1:5" x14ac:dyDescent="0.4">
      <c r="A596" t="s">
        <v>2118</v>
      </c>
    </row>
    <row r="597" spans="1:5" x14ac:dyDescent="0.4">
      <c r="A597" t="s">
        <v>597</v>
      </c>
      <c r="B597">
        <v>3</v>
      </c>
      <c r="C597" t="s">
        <v>1676</v>
      </c>
      <c r="D597" t="s">
        <v>2025</v>
      </c>
      <c r="E597" t="s">
        <v>1678</v>
      </c>
    </row>
    <row r="598" spans="1:5" x14ac:dyDescent="0.4">
      <c r="A598" t="s">
        <v>2119</v>
      </c>
    </row>
    <row r="599" spans="1:5" x14ac:dyDescent="0.4">
      <c r="A599" t="s">
        <v>2120</v>
      </c>
    </row>
    <row r="600" spans="1:5" x14ac:dyDescent="0.4">
      <c r="A600" t="s">
        <v>601</v>
      </c>
      <c r="B600">
        <v>17</v>
      </c>
      <c r="C600" t="s">
        <v>1676</v>
      </c>
      <c r="D600" t="s">
        <v>1738</v>
      </c>
      <c r="E600" t="s">
        <v>1678</v>
      </c>
    </row>
    <row r="601" spans="1:5" x14ac:dyDescent="0.4">
      <c r="A601" t="s">
        <v>2121</v>
      </c>
    </row>
    <row r="602" spans="1:5" x14ac:dyDescent="0.4">
      <c r="A602" t="s">
        <v>603</v>
      </c>
      <c r="B602">
        <v>21</v>
      </c>
      <c r="C602" t="s">
        <v>1676</v>
      </c>
      <c r="D602" t="s">
        <v>1995</v>
      </c>
      <c r="E602" t="s">
        <v>1678</v>
      </c>
    </row>
    <row r="603" spans="1:5" x14ac:dyDescent="0.4">
      <c r="A603" t="s">
        <v>2122</v>
      </c>
    </row>
    <row r="604" spans="1:5" x14ac:dyDescent="0.4">
      <c r="A604" t="s">
        <v>2123</v>
      </c>
    </row>
    <row r="605" spans="1:5" x14ac:dyDescent="0.4">
      <c r="A605" t="s">
        <v>607</v>
      </c>
      <c r="B605">
        <v>7</v>
      </c>
      <c r="C605" t="s">
        <v>1676</v>
      </c>
      <c r="D605" t="s">
        <v>1829</v>
      </c>
      <c r="E605" t="s">
        <v>1678</v>
      </c>
    </row>
    <row r="606" spans="1:5" x14ac:dyDescent="0.4">
      <c r="A606" t="s">
        <v>607</v>
      </c>
      <c r="B606">
        <v>21</v>
      </c>
      <c r="C606" t="s">
        <v>1676</v>
      </c>
      <c r="D606" t="s">
        <v>1721</v>
      </c>
      <c r="E606" t="s">
        <v>1678</v>
      </c>
    </row>
    <row r="607" spans="1:5" x14ac:dyDescent="0.4">
      <c r="A607" t="s">
        <v>2124</v>
      </c>
    </row>
    <row r="608" spans="1:5" x14ac:dyDescent="0.4">
      <c r="A608" t="s">
        <v>609</v>
      </c>
      <c r="B608">
        <v>6</v>
      </c>
      <c r="C608" t="s">
        <v>1676</v>
      </c>
      <c r="D608" t="s">
        <v>1726</v>
      </c>
      <c r="E608" t="s">
        <v>1678</v>
      </c>
    </row>
    <row r="609" spans="1:5" x14ac:dyDescent="0.4">
      <c r="A609" t="s">
        <v>609</v>
      </c>
      <c r="B609">
        <v>11</v>
      </c>
      <c r="C609" t="s">
        <v>1676</v>
      </c>
      <c r="D609" t="s">
        <v>1704</v>
      </c>
      <c r="E609" t="s">
        <v>1678</v>
      </c>
    </row>
    <row r="610" spans="1:5" x14ac:dyDescent="0.4">
      <c r="A610" t="s">
        <v>609</v>
      </c>
      <c r="B610">
        <v>20</v>
      </c>
      <c r="C610" t="s">
        <v>1676</v>
      </c>
      <c r="D610" t="s">
        <v>1693</v>
      </c>
      <c r="E610" t="s">
        <v>1678</v>
      </c>
    </row>
    <row r="611" spans="1:5" x14ac:dyDescent="0.4">
      <c r="A611" t="s">
        <v>2125</v>
      </c>
    </row>
    <row r="612" spans="1:5" x14ac:dyDescent="0.4">
      <c r="A612" t="s">
        <v>611</v>
      </c>
      <c r="B612">
        <v>15</v>
      </c>
      <c r="C612" t="s">
        <v>1676</v>
      </c>
      <c r="D612" t="s">
        <v>1738</v>
      </c>
      <c r="E612" t="s">
        <v>1678</v>
      </c>
    </row>
    <row r="613" spans="1:5" x14ac:dyDescent="0.4">
      <c r="A613" t="s">
        <v>2126</v>
      </c>
    </row>
    <row r="614" spans="1:5" x14ac:dyDescent="0.4">
      <c r="A614" t="s">
        <v>613</v>
      </c>
      <c r="B614">
        <v>11</v>
      </c>
      <c r="C614" t="s">
        <v>1676</v>
      </c>
      <c r="D614" t="s">
        <v>1829</v>
      </c>
      <c r="E614" t="s">
        <v>1678</v>
      </c>
    </row>
    <row r="615" spans="1:5" x14ac:dyDescent="0.4">
      <c r="A615" t="s">
        <v>2127</v>
      </c>
    </row>
    <row r="616" spans="1:5" x14ac:dyDescent="0.4">
      <c r="A616" t="s">
        <v>615</v>
      </c>
      <c r="B616">
        <v>13</v>
      </c>
      <c r="C616" t="s">
        <v>1676</v>
      </c>
      <c r="D616" t="s">
        <v>1823</v>
      </c>
      <c r="E616" t="s">
        <v>1678</v>
      </c>
    </row>
    <row r="617" spans="1:5" x14ac:dyDescent="0.4">
      <c r="A617" t="s">
        <v>2128</v>
      </c>
    </row>
    <row r="618" spans="1:5" x14ac:dyDescent="0.4">
      <c r="A618" t="s">
        <v>617</v>
      </c>
      <c r="B618">
        <v>13</v>
      </c>
      <c r="C618" t="s">
        <v>1676</v>
      </c>
      <c r="D618" t="s">
        <v>2129</v>
      </c>
      <c r="E618" t="s">
        <v>1678</v>
      </c>
    </row>
    <row r="619" spans="1:5" x14ac:dyDescent="0.4">
      <c r="A619" t="s">
        <v>2130</v>
      </c>
    </row>
    <row r="620" spans="1:5" x14ac:dyDescent="0.4">
      <c r="A620" t="s">
        <v>2131</v>
      </c>
    </row>
    <row r="621" spans="1:5" x14ac:dyDescent="0.4">
      <c r="A621" t="s">
        <v>2132</v>
      </c>
    </row>
    <row r="622" spans="1:5" x14ac:dyDescent="0.4">
      <c r="A622" t="s">
        <v>2133</v>
      </c>
    </row>
    <row r="623" spans="1:5" x14ac:dyDescent="0.4">
      <c r="A623" t="s">
        <v>625</v>
      </c>
      <c r="B623">
        <v>8</v>
      </c>
      <c r="C623" t="s">
        <v>1676</v>
      </c>
      <c r="D623" t="s">
        <v>1721</v>
      </c>
      <c r="E623" t="s">
        <v>1678</v>
      </c>
    </row>
    <row r="624" spans="1:5" x14ac:dyDescent="0.4">
      <c r="A624" t="s">
        <v>625</v>
      </c>
      <c r="B624">
        <v>9</v>
      </c>
      <c r="C624" t="s">
        <v>1676</v>
      </c>
      <c r="D624" t="s">
        <v>1724</v>
      </c>
      <c r="E624" t="s">
        <v>1678</v>
      </c>
    </row>
    <row r="625" spans="1:5" x14ac:dyDescent="0.4">
      <c r="A625" t="s">
        <v>625</v>
      </c>
      <c r="B625">
        <v>17</v>
      </c>
      <c r="C625" t="s">
        <v>1676</v>
      </c>
      <c r="D625" t="s">
        <v>1679</v>
      </c>
      <c r="E625" t="s">
        <v>1678</v>
      </c>
    </row>
    <row r="626" spans="1:5" x14ac:dyDescent="0.4">
      <c r="A626" t="s">
        <v>625</v>
      </c>
      <c r="B626">
        <v>20</v>
      </c>
      <c r="C626" t="s">
        <v>1676</v>
      </c>
      <c r="D626" t="s">
        <v>1698</v>
      </c>
      <c r="E626" t="s">
        <v>1678</v>
      </c>
    </row>
    <row r="627" spans="1:5" x14ac:dyDescent="0.4">
      <c r="A627" t="s">
        <v>625</v>
      </c>
      <c r="B627">
        <v>21</v>
      </c>
      <c r="C627" t="s">
        <v>1676</v>
      </c>
      <c r="D627" t="s">
        <v>1922</v>
      </c>
      <c r="E627" t="s">
        <v>1678</v>
      </c>
    </row>
    <row r="628" spans="1:5" x14ac:dyDescent="0.4">
      <c r="A628" t="s">
        <v>2134</v>
      </c>
    </row>
    <row r="629" spans="1:5" x14ac:dyDescent="0.4">
      <c r="A629" t="s">
        <v>627</v>
      </c>
      <c r="B629">
        <v>8</v>
      </c>
      <c r="C629" t="s">
        <v>1676</v>
      </c>
      <c r="D629" t="s">
        <v>2031</v>
      </c>
      <c r="E629" t="s">
        <v>1678</v>
      </c>
    </row>
    <row r="630" spans="1:5" x14ac:dyDescent="0.4">
      <c r="A630" t="s">
        <v>627</v>
      </c>
      <c r="B630">
        <v>14</v>
      </c>
      <c r="C630" t="s">
        <v>1676</v>
      </c>
      <c r="D630" t="s">
        <v>1705</v>
      </c>
      <c r="E630" t="s">
        <v>1678</v>
      </c>
    </row>
    <row r="631" spans="1:5" x14ac:dyDescent="0.4">
      <c r="A631" t="s">
        <v>2135</v>
      </c>
    </row>
    <row r="632" spans="1:5" x14ac:dyDescent="0.4">
      <c r="A632" t="s">
        <v>629</v>
      </c>
      <c r="B632">
        <v>10</v>
      </c>
      <c r="C632" t="s">
        <v>1676</v>
      </c>
      <c r="D632" t="s">
        <v>1704</v>
      </c>
      <c r="E632" t="s">
        <v>1678</v>
      </c>
    </row>
    <row r="633" spans="1:5" x14ac:dyDescent="0.4">
      <c r="A633" t="s">
        <v>2136</v>
      </c>
    </row>
    <row r="634" spans="1:5" x14ac:dyDescent="0.4">
      <c r="A634" t="s">
        <v>631</v>
      </c>
      <c r="B634">
        <v>14</v>
      </c>
      <c r="C634" t="s">
        <v>1676</v>
      </c>
      <c r="D634" t="s">
        <v>1708</v>
      </c>
      <c r="E634" t="s">
        <v>1678</v>
      </c>
    </row>
    <row r="635" spans="1:5" x14ac:dyDescent="0.4">
      <c r="A635" t="s">
        <v>2137</v>
      </c>
    </row>
    <row r="636" spans="1:5" x14ac:dyDescent="0.4">
      <c r="A636" t="s">
        <v>633</v>
      </c>
      <c r="B636">
        <v>11</v>
      </c>
      <c r="C636" t="s">
        <v>1676</v>
      </c>
      <c r="D636" t="s">
        <v>1945</v>
      </c>
      <c r="E636" t="s">
        <v>1678</v>
      </c>
    </row>
    <row r="637" spans="1:5" x14ac:dyDescent="0.4">
      <c r="A637" t="s">
        <v>633</v>
      </c>
      <c r="B637">
        <v>12</v>
      </c>
      <c r="C637" t="s">
        <v>1676</v>
      </c>
      <c r="D637" t="s">
        <v>2100</v>
      </c>
      <c r="E637" t="s">
        <v>1678</v>
      </c>
    </row>
    <row r="638" spans="1:5" x14ac:dyDescent="0.4">
      <c r="A638" t="s">
        <v>2138</v>
      </c>
    </row>
    <row r="639" spans="1:5" x14ac:dyDescent="0.4">
      <c r="A639" t="s">
        <v>635</v>
      </c>
      <c r="B639">
        <v>19</v>
      </c>
      <c r="C639" t="s">
        <v>1676</v>
      </c>
      <c r="D639" t="s">
        <v>1864</v>
      </c>
      <c r="E639" t="s">
        <v>1678</v>
      </c>
    </row>
    <row r="640" spans="1:5" x14ac:dyDescent="0.4">
      <c r="A640" t="s">
        <v>2139</v>
      </c>
    </row>
    <row r="641" spans="1:5" x14ac:dyDescent="0.4">
      <c r="A641" t="s">
        <v>2140</v>
      </c>
    </row>
    <row r="642" spans="1:5" x14ac:dyDescent="0.4">
      <c r="A642" t="s">
        <v>639</v>
      </c>
      <c r="B642">
        <v>8</v>
      </c>
      <c r="C642" t="s">
        <v>1676</v>
      </c>
      <c r="D642" t="s">
        <v>1995</v>
      </c>
      <c r="E642" t="s">
        <v>1678</v>
      </c>
    </row>
    <row r="643" spans="1:5" x14ac:dyDescent="0.4">
      <c r="A643" t="s">
        <v>639</v>
      </c>
      <c r="B643">
        <v>21</v>
      </c>
      <c r="C643" t="s">
        <v>1676</v>
      </c>
      <c r="D643" t="s">
        <v>2141</v>
      </c>
      <c r="E643" t="s">
        <v>1678</v>
      </c>
    </row>
    <row r="644" spans="1:5" x14ac:dyDescent="0.4">
      <c r="A644" t="s">
        <v>2142</v>
      </c>
    </row>
    <row r="645" spans="1:5" x14ac:dyDescent="0.4">
      <c r="A645" t="s">
        <v>641</v>
      </c>
      <c r="B645">
        <v>2</v>
      </c>
      <c r="C645" t="s">
        <v>1676</v>
      </c>
      <c r="D645" t="s">
        <v>1945</v>
      </c>
      <c r="E645" t="s">
        <v>1678</v>
      </c>
    </row>
    <row r="646" spans="1:5" x14ac:dyDescent="0.4">
      <c r="A646" t="s">
        <v>2143</v>
      </c>
    </row>
    <row r="647" spans="1:5" x14ac:dyDescent="0.4">
      <c r="A647" t="s">
        <v>643</v>
      </c>
      <c r="B647">
        <v>18</v>
      </c>
      <c r="C647" t="s">
        <v>1676</v>
      </c>
      <c r="D647" t="s">
        <v>2097</v>
      </c>
      <c r="E647" t="s">
        <v>1678</v>
      </c>
    </row>
    <row r="648" spans="1:5" x14ac:dyDescent="0.4">
      <c r="A648" t="s">
        <v>643</v>
      </c>
      <c r="B648">
        <v>19</v>
      </c>
      <c r="C648" t="s">
        <v>1676</v>
      </c>
      <c r="D648" t="s">
        <v>2144</v>
      </c>
      <c r="E648" t="s">
        <v>1678</v>
      </c>
    </row>
    <row r="649" spans="1:5" x14ac:dyDescent="0.4">
      <c r="A649" t="s">
        <v>2145</v>
      </c>
    </row>
    <row r="650" spans="1:5" x14ac:dyDescent="0.4">
      <c r="A650" t="s">
        <v>645</v>
      </c>
      <c r="B650">
        <v>11</v>
      </c>
      <c r="C650" t="s">
        <v>1676</v>
      </c>
      <c r="D650" t="s">
        <v>1677</v>
      </c>
      <c r="E650" t="s">
        <v>1678</v>
      </c>
    </row>
    <row r="651" spans="1:5" x14ac:dyDescent="0.4">
      <c r="A651" t="s">
        <v>2146</v>
      </c>
    </row>
    <row r="652" spans="1:5" x14ac:dyDescent="0.4">
      <c r="A652" t="s">
        <v>2147</v>
      </c>
    </row>
    <row r="653" spans="1:5" x14ac:dyDescent="0.4">
      <c r="A653" t="s">
        <v>649</v>
      </c>
      <c r="B653">
        <v>15</v>
      </c>
      <c r="C653" t="s">
        <v>1676</v>
      </c>
      <c r="D653" t="s">
        <v>1708</v>
      </c>
      <c r="E653" t="s">
        <v>1678</v>
      </c>
    </row>
    <row r="654" spans="1:5" x14ac:dyDescent="0.4">
      <c r="A654" t="s">
        <v>2148</v>
      </c>
    </row>
    <row r="655" spans="1:5" x14ac:dyDescent="0.4">
      <c r="A655" t="s">
        <v>651</v>
      </c>
      <c r="B655">
        <v>11</v>
      </c>
      <c r="C655" t="s">
        <v>1676</v>
      </c>
      <c r="D655" t="s">
        <v>1933</v>
      </c>
      <c r="E655" t="s">
        <v>1678</v>
      </c>
    </row>
    <row r="656" spans="1:5" x14ac:dyDescent="0.4">
      <c r="A656" t="s">
        <v>2149</v>
      </c>
    </row>
    <row r="657" spans="1:5" x14ac:dyDescent="0.4">
      <c r="A657" t="s">
        <v>653</v>
      </c>
      <c r="B657">
        <v>18</v>
      </c>
      <c r="C657" t="s">
        <v>1676</v>
      </c>
      <c r="D657" t="s">
        <v>2100</v>
      </c>
      <c r="E657" t="s">
        <v>1678</v>
      </c>
    </row>
    <row r="658" spans="1:5" x14ac:dyDescent="0.4">
      <c r="A658" t="s">
        <v>653</v>
      </c>
      <c r="B658">
        <v>21</v>
      </c>
      <c r="C658" t="s">
        <v>1676</v>
      </c>
      <c r="D658" t="s">
        <v>1710</v>
      </c>
      <c r="E658" t="s">
        <v>1678</v>
      </c>
    </row>
    <row r="659" spans="1:5" x14ac:dyDescent="0.4">
      <c r="A659" t="s">
        <v>2150</v>
      </c>
    </row>
    <row r="660" spans="1:5" x14ac:dyDescent="0.4">
      <c r="A660" t="s">
        <v>655</v>
      </c>
      <c r="B660">
        <v>14</v>
      </c>
      <c r="C660" t="s">
        <v>1676</v>
      </c>
      <c r="D660" t="s">
        <v>1696</v>
      </c>
      <c r="E660" t="s">
        <v>1678</v>
      </c>
    </row>
    <row r="661" spans="1:5" x14ac:dyDescent="0.4">
      <c r="A661" t="s">
        <v>2151</v>
      </c>
    </row>
    <row r="662" spans="1:5" x14ac:dyDescent="0.4">
      <c r="A662" t="s">
        <v>657</v>
      </c>
      <c r="B662">
        <v>2</v>
      </c>
      <c r="C662" t="s">
        <v>1676</v>
      </c>
      <c r="D662" t="s">
        <v>1749</v>
      </c>
      <c r="E662" t="s">
        <v>1678</v>
      </c>
    </row>
    <row r="663" spans="1:5" x14ac:dyDescent="0.4">
      <c r="A663" t="s">
        <v>657</v>
      </c>
      <c r="B663">
        <v>8</v>
      </c>
      <c r="C663" t="s">
        <v>1676</v>
      </c>
      <c r="D663" t="s">
        <v>1703</v>
      </c>
      <c r="E663" t="s">
        <v>1678</v>
      </c>
    </row>
    <row r="664" spans="1:5" x14ac:dyDescent="0.4">
      <c r="A664" t="s">
        <v>657</v>
      </c>
      <c r="B664">
        <v>17</v>
      </c>
      <c r="C664" t="s">
        <v>1676</v>
      </c>
      <c r="D664" t="s">
        <v>1703</v>
      </c>
      <c r="E664" t="s">
        <v>1678</v>
      </c>
    </row>
    <row r="665" spans="1:5" x14ac:dyDescent="0.4">
      <c r="A665" t="s">
        <v>2152</v>
      </c>
    </row>
    <row r="666" spans="1:5" x14ac:dyDescent="0.4">
      <c r="A666" t="s">
        <v>659</v>
      </c>
      <c r="B666">
        <v>4</v>
      </c>
      <c r="C666" t="s">
        <v>1676</v>
      </c>
      <c r="D666" t="s">
        <v>1707</v>
      </c>
      <c r="E666" t="s">
        <v>1678</v>
      </c>
    </row>
    <row r="667" spans="1:5" x14ac:dyDescent="0.4">
      <c r="A667" t="s">
        <v>659</v>
      </c>
      <c r="B667">
        <v>11</v>
      </c>
      <c r="C667" t="s">
        <v>1676</v>
      </c>
      <c r="D667" t="s">
        <v>1995</v>
      </c>
      <c r="E667" t="s">
        <v>1678</v>
      </c>
    </row>
    <row r="668" spans="1:5" x14ac:dyDescent="0.4">
      <c r="A668" t="s">
        <v>659</v>
      </c>
      <c r="B668">
        <v>15</v>
      </c>
      <c r="C668" t="s">
        <v>1676</v>
      </c>
      <c r="D668" t="s">
        <v>1693</v>
      </c>
      <c r="E668" t="s">
        <v>1678</v>
      </c>
    </row>
    <row r="669" spans="1:5" x14ac:dyDescent="0.4">
      <c r="A669" t="s">
        <v>659</v>
      </c>
      <c r="B669">
        <v>16</v>
      </c>
      <c r="C669" t="s">
        <v>1676</v>
      </c>
      <c r="D669" t="s">
        <v>1719</v>
      </c>
      <c r="E669" t="s">
        <v>1678</v>
      </c>
    </row>
    <row r="670" spans="1:5" x14ac:dyDescent="0.4">
      <c r="A670" t="s">
        <v>2153</v>
      </c>
    </row>
    <row r="671" spans="1:5" x14ac:dyDescent="0.4">
      <c r="A671" t="s">
        <v>661</v>
      </c>
      <c r="B671">
        <v>16</v>
      </c>
      <c r="C671" t="s">
        <v>1676</v>
      </c>
      <c r="D671" t="s">
        <v>1800</v>
      </c>
      <c r="E671" t="s">
        <v>1678</v>
      </c>
    </row>
    <row r="672" spans="1:5" x14ac:dyDescent="0.4">
      <c r="A672" t="s">
        <v>2154</v>
      </c>
    </row>
    <row r="673" spans="1:5" x14ac:dyDescent="0.4">
      <c r="A673" t="s">
        <v>663</v>
      </c>
      <c r="B673">
        <v>7</v>
      </c>
      <c r="C673" t="s">
        <v>1676</v>
      </c>
      <c r="D673" t="s">
        <v>1677</v>
      </c>
      <c r="E673" t="s">
        <v>1678</v>
      </c>
    </row>
    <row r="674" spans="1:5" x14ac:dyDescent="0.4">
      <c r="A674" t="s">
        <v>663</v>
      </c>
      <c r="B674">
        <v>8</v>
      </c>
      <c r="C674" t="s">
        <v>1676</v>
      </c>
      <c r="D674" t="s">
        <v>1685</v>
      </c>
      <c r="E674" t="s">
        <v>1678</v>
      </c>
    </row>
    <row r="675" spans="1:5" x14ac:dyDescent="0.4">
      <c r="A675" t="s">
        <v>2155</v>
      </c>
    </row>
    <row r="676" spans="1:5" x14ac:dyDescent="0.4">
      <c r="A676" t="s">
        <v>665</v>
      </c>
      <c r="B676">
        <v>11</v>
      </c>
      <c r="C676" t="s">
        <v>1676</v>
      </c>
      <c r="D676" t="s">
        <v>2102</v>
      </c>
      <c r="E676" t="s">
        <v>1678</v>
      </c>
    </row>
    <row r="677" spans="1:5" x14ac:dyDescent="0.4">
      <c r="A677" t="s">
        <v>2156</v>
      </c>
    </row>
    <row r="678" spans="1:5" x14ac:dyDescent="0.4">
      <c r="A678" t="s">
        <v>2157</v>
      </c>
    </row>
    <row r="679" spans="1:5" x14ac:dyDescent="0.4">
      <c r="A679" t="s">
        <v>669</v>
      </c>
      <c r="B679">
        <v>8</v>
      </c>
      <c r="C679" t="s">
        <v>1676</v>
      </c>
      <c r="D679" t="s">
        <v>2158</v>
      </c>
      <c r="E679" t="s">
        <v>1678</v>
      </c>
    </row>
    <row r="680" spans="1:5" x14ac:dyDescent="0.4">
      <c r="A680" t="s">
        <v>669</v>
      </c>
      <c r="B680">
        <v>16</v>
      </c>
      <c r="C680" t="s">
        <v>1676</v>
      </c>
      <c r="D680" t="s">
        <v>2159</v>
      </c>
      <c r="E680" t="s">
        <v>1678</v>
      </c>
    </row>
    <row r="681" spans="1:5" x14ac:dyDescent="0.4">
      <c r="A681" t="s">
        <v>2160</v>
      </c>
    </row>
    <row r="682" spans="1:5" x14ac:dyDescent="0.4">
      <c r="A682" t="s">
        <v>2161</v>
      </c>
    </row>
    <row r="683" spans="1:5" x14ac:dyDescent="0.4">
      <c r="A683" t="s">
        <v>673</v>
      </c>
      <c r="B683">
        <v>11</v>
      </c>
      <c r="C683" t="s">
        <v>1676</v>
      </c>
      <c r="D683" t="s">
        <v>2096</v>
      </c>
      <c r="E683" t="s">
        <v>1678</v>
      </c>
    </row>
    <row r="684" spans="1:5" x14ac:dyDescent="0.4">
      <c r="A684" t="s">
        <v>2162</v>
      </c>
    </row>
    <row r="685" spans="1:5" x14ac:dyDescent="0.4">
      <c r="A685" t="s">
        <v>675</v>
      </c>
      <c r="B685">
        <v>14</v>
      </c>
      <c r="C685" t="s">
        <v>1676</v>
      </c>
      <c r="D685" t="s">
        <v>2163</v>
      </c>
      <c r="E685" t="s">
        <v>1678</v>
      </c>
    </row>
    <row r="686" spans="1:5" x14ac:dyDescent="0.4">
      <c r="A686" t="s">
        <v>2164</v>
      </c>
    </row>
    <row r="687" spans="1:5" x14ac:dyDescent="0.4">
      <c r="A687" t="s">
        <v>677</v>
      </c>
      <c r="B687">
        <v>12</v>
      </c>
      <c r="C687" t="s">
        <v>1676</v>
      </c>
      <c r="D687" t="s">
        <v>1685</v>
      </c>
      <c r="E687" t="s">
        <v>1678</v>
      </c>
    </row>
    <row r="688" spans="1:5" x14ac:dyDescent="0.4">
      <c r="A688" t="s">
        <v>2165</v>
      </c>
    </row>
    <row r="689" spans="1:5" x14ac:dyDescent="0.4">
      <c r="A689" t="s">
        <v>2166</v>
      </c>
    </row>
    <row r="690" spans="1:5" x14ac:dyDescent="0.4">
      <c r="A690" t="s">
        <v>681</v>
      </c>
      <c r="B690">
        <v>21</v>
      </c>
      <c r="C690" t="s">
        <v>1676</v>
      </c>
      <c r="D690" t="s">
        <v>1682</v>
      </c>
      <c r="E690" t="s">
        <v>1678</v>
      </c>
    </row>
    <row r="691" spans="1:5" x14ac:dyDescent="0.4">
      <c r="A691" t="s">
        <v>2167</v>
      </c>
    </row>
    <row r="692" spans="1:5" x14ac:dyDescent="0.4">
      <c r="A692" t="s">
        <v>2168</v>
      </c>
    </row>
    <row r="693" spans="1:5" x14ac:dyDescent="0.4">
      <c r="A693" t="s">
        <v>2169</v>
      </c>
    </row>
    <row r="694" spans="1:5" x14ac:dyDescent="0.4">
      <c r="A694" t="s">
        <v>2170</v>
      </c>
    </row>
    <row r="695" spans="1:5" x14ac:dyDescent="0.4">
      <c r="A695" t="s">
        <v>2171</v>
      </c>
    </row>
    <row r="696" spans="1:5" x14ac:dyDescent="0.4">
      <c r="A696" t="s">
        <v>691</v>
      </c>
      <c r="B696">
        <v>10</v>
      </c>
      <c r="C696" t="s">
        <v>1676</v>
      </c>
      <c r="D696" t="s">
        <v>1734</v>
      </c>
      <c r="E696" t="s">
        <v>1678</v>
      </c>
    </row>
    <row r="697" spans="1:5" x14ac:dyDescent="0.4">
      <c r="A697" t="s">
        <v>2172</v>
      </c>
    </row>
    <row r="698" spans="1:5" x14ac:dyDescent="0.4">
      <c r="A698" t="s">
        <v>2173</v>
      </c>
    </row>
    <row r="699" spans="1:5" x14ac:dyDescent="0.4">
      <c r="A699" t="s">
        <v>695</v>
      </c>
      <c r="B699">
        <v>14</v>
      </c>
      <c r="C699" t="s">
        <v>1676</v>
      </c>
      <c r="D699" t="s">
        <v>1740</v>
      </c>
      <c r="E699" t="s">
        <v>1678</v>
      </c>
    </row>
    <row r="700" spans="1:5" x14ac:dyDescent="0.4">
      <c r="A700" t="s">
        <v>2174</v>
      </c>
    </row>
    <row r="701" spans="1:5" x14ac:dyDescent="0.4">
      <c r="A701" t="s">
        <v>697</v>
      </c>
      <c r="B701">
        <v>7</v>
      </c>
      <c r="C701" t="s">
        <v>1676</v>
      </c>
      <c r="D701" t="s">
        <v>2175</v>
      </c>
      <c r="E701" t="s">
        <v>1678</v>
      </c>
    </row>
    <row r="702" spans="1:5" x14ac:dyDescent="0.4">
      <c r="A702" t="s">
        <v>697</v>
      </c>
      <c r="B702">
        <v>16</v>
      </c>
      <c r="C702" t="s">
        <v>1676</v>
      </c>
      <c r="D702" t="s">
        <v>2176</v>
      </c>
      <c r="E702" t="s">
        <v>1678</v>
      </c>
    </row>
    <row r="703" spans="1:5" x14ac:dyDescent="0.4">
      <c r="A703" t="s">
        <v>2177</v>
      </c>
    </row>
    <row r="704" spans="1:5" x14ac:dyDescent="0.4">
      <c r="A704" t="s">
        <v>699</v>
      </c>
      <c r="B704">
        <v>3</v>
      </c>
      <c r="C704" t="s">
        <v>1676</v>
      </c>
      <c r="D704" t="s">
        <v>1689</v>
      </c>
      <c r="E704" t="s">
        <v>1678</v>
      </c>
    </row>
    <row r="705" spans="1:5" x14ac:dyDescent="0.4">
      <c r="A705" t="s">
        <v>699</v>
      </c>
      <c r="B705">
        <v>10</v>
      </c>
      <c r="C705" t="s">
        <v>1676</v>
      </c>
      <c r="D705" t="s">
        <v>2178</v>
      </c>
      <c r="E705" t="s">
        <v>1678</v>
      </c>
    </row>
    <row r="706" spans="1:5" x14ac:dyDescent="0.4">
      <c r="A706" t="s">
        <v>699</v>
      </c>
      <c r="B706">
        <v>19</v>
      </c>
      <c r="C706" t="s">
        <v>1676</v>
      </c>
      <c r="D706" t="s">
        <v>1780</v>
      </c>
      <c r="E706" t="s">
        <v>1678</v>
      </c>
    </row>
    <row r="707" spans="1:5" x14ac:dyDescent="0.4">
      <c r="A707" t="s">
        <v>2179</v>
      </c>
    </row>
    <row r="708" spans="1:5" x14ac:dyDescent="0.4">
      <c r="A708" t="s">
        <v>701</v>
      </c>
      <c r="B708">
        <v>6</v>
      </c>
      <c r="C708" t="s">
        <v>1676</v>
      </c>
      <c r="D708" t="s">
        <v>1726</v>
      </c>
      <c r="E708" t="s">
        <v>1678</v>
      </c>
    </row>
    <row r="709" spans="1:5" x14ac:dyDescent="0.4">
      <c r="A709" t="s">
        <v>701</v>
      </c>
      <c r="B709">
        <v>11</v>
      </c>
      <c r="C709" t="s">
        <v>1676</v>
      </c>
      <c r="D709" t="s">
        <v>1702</v>
      </c>
      <c r="E709" t="s">
        <v>1678</v>
      </c>
    </row>
    <row r="710" spans="1:5" x14ac:dyDescent="0.4">
      <c r="A710" t="s">
        <v>701</v>
      </c>
      <c r="B710">
        <v>13</v>
      </c>
      <c r="C710" t="s">
        <v>1676</v>
      </c>
      <c r="D710" t="s">
        <v>1683</v>
      </c>
      <c r="E710" t="s">
        <v>1678</v>
      </c>
    </row>
    <row r="711" spans="1:5" x14ac:dyDescent="0.4">
      <c r="A711" t="s">
        <v>701</v>
      </c>
      <c r="B711">
        <v>21</v>
      </c>
      <c r="C711" t="s">
        <v>1676</v>
      </c>
      <c r="D711" t="s">
        <v>2180</v>
      </c>
      <c r="E711" t="s">
        <v>1678</v>
      </c>
    </row>
    <row r="712" spans="1:5" x14ac:dyDescent="0.4">
      <c r="A712" t="s">
        <v>2181</v>
      </c>
    </row>
    <row r="713" spans="1:5" x14ac:dyDescent="0.4">
      <c r="A713" t="s">
        <v>703</v>
      </c>
      <c r="B713">
        <v>9</v>
      </c>
      <c r="C713" t="s">
        <v>1676</v>
      </c>
      <c r="D713" t="s">
        <v>2182</v>
      </c>
      <c r="E713" t="s">
        <v>1678</v>
      </c>
    </row>
    <row r="714" spans="1:5" x14ac:dyDescent="0.4">
      <c r="A714" t="s">
        <v>2183</v>
      </c>
    </row>
    <row r="715" spans="1:5" x14ac:dyDescent="0.4">
      <c r="A715" t="s">
        <v>2184</v>
      </c>
    </row>
    <row r="716" spans="1:5" x14ac:dyDescent="0.4">
      <c r="A716" t="s">
        <v>707</v>
      </c>
      <c r="B716">
        <v>12</v>
      </c>
      <c r="C716" t="s">
        <v>1676</v>
      </c>
      <c r="D716" t="s">
        <v>2144</v>
      </c>
      <c r="E716" t="s">
        <v>1678</v>
      </c>
    </row>
    <row r="717" spans="1:5" x14ac:dyDescent="0.4">
      <c r="A717" t="s">
        <v>2185</v>
      </c>
    </row>
    <row r="718" spans="1:5" x14ac:dyDescent="0.4">
      <c r="A718" t="s">
        <v>709</v>
      </c>
      <c r="B718">
        <v>10</v>
      </c>
      <c r="C718" t="s">
        <v>1676</v>
      </c>
      <c r="D718" t="s">
        <v>1704</v>
      </c>
      <c r="E718" t="s">
        <v>1678</v>
      </c>
    </row>
    <row r="719" spans="1:5" x14ac:dyDescent="0.4">
      <c r="A719" t="s">
        <v>2186</v>
      </c>
    </row>
    <row r="720" spans="1:5" x14ac:dyDescent="0.4">
      <c r="A720" t="s">
        <v>2187</v>
      </c>
    </row>
    <row r="721" spans="1:5" x14ac:dyDescent="0.4">
      <c r="A721" t="s">
        <v>713</v>
      </c>
      <c r="B721">
        <v>4</v>
      </c>
      <c r="C721" t="s">
        <v>1676</v>
      </c>
      <c r="D721" t="s">
        <v>1945</v>
      </c>
      <c r="E721" t="s">
        <v>1678</v>
      </c>
    </row>
    <row r="722" spans="1:5" x14ac:dyDescent="0.4">
      <c r="A722" t="s">
        <v>713</v>
      </c>
      <c r="B722">
        <v>11</v>
      </c>
      <c r="C722" t="s">
        <v>1676</v>
      </c>
      <c r="D722" t="s">
        <v>1677</v>
      </c>
      <c r="E722" t="s">
        <v>1678</v>
      </c>
    </row>
    <row r="723" spans="1:5" x14ac:dyDescent="0.4">
      <c r="A723" t="s">
        <v>2188</v>
      </c>
    </row>
    <row r="724" spans="1:5" x14ac:dyDescent="0.4">
      <c r="A724" t="s">
        <v>715</v>
      </c>
      <c r="B724">
        <v>3</v>
      </c>
      <c r="C724" t="s">
        <v>1676</v>
      </c>
      <c r="D724" t="s">
        <v>1893</v>
      </c>
      <c r="E724" t="s">
        <v>1678</v>
      </c>
    </row>
    <row r="725" spans="1:5" x14ac:dyDescent="0.4">
      <c r="A725" t="s">
        <v>715</v>
      </c>
      <c r="B725">
        <v>5</v>
      </c>
      <c r="C725" t="s">
        <v>1676</v>
      </c>
      <c r="D725" t="s">
        <v>1739</v>
      </c>
      <c r="E725" t="s">
        <v>1678</v>
      </c>
    </row>
    <row r="726" spans="1:5" x14ac:dyDescent="0.4">
      <c r="A726" t="s">
        <v>715</v>
      </c>
      <c r="B726">
        <v>12</v>
      </c>
      <c r="C726" t="s">
        <v>1676</v>
      </c>
      <c r="D726" t="s">
        <v>1690</v>
      </c>
      <c r="E726" t="s">
        <v>1678</v>
      </c>
    </row>
    <row r="727" spans="1:5" x14ac:dyDescent="0.4">
      <c r="A727" t="s">
        <v>2189</v>
      </c>
    </row>
    <row r="728" spans="1:5" x14ac:dyDescent="0.4">
      <c r="A728" t="s">
        <v>717</v>
      </c>
      <c r="B728">
        <v>18</v>
      </c>
      <c r="C728" t="s">
        <v>1676</v>
      </c>
      <c r="D728" t="s">
        <v>2090</v>
      </c>
      <c r="E728" t="s">
        <v>1678</v>
      </c>
    </row>
    <row r="729" spans="1:5" x14ac:dyDescent="0.4">
      <c r="A729" t="s">
        <v>2190</v>
      </c>
    </row>
    <row r="730" spans="1:5" x14ac:dyDescent="0.4">
      <c r="A730" t="s">
        <v>2191</v>
      </c>
    </row>
    <row r="731" spans="1:5" x14ac:dyDescent="0.4">
      <c r="A731" t="s">
        <v>721</v>
      </c>
      <c r="B731">
        <v>11</v>
      </c>
      <c r="C731" t="s">
        <v>1676</v>
      </c>
      <c r="D731" t="s">
        <v>1962</v>
      </c>
      <c r="E731" t="s">
        <v>1678</v>
      </c>
    </row>
    <row r="732" spans="1:5" x14ac:dyDescent="0.4">
      <c r="A732" t="s">
        <v>721</v>
      </c>
      <c r="B732">
        <v>18</v>
      </c>
      <c r="C732" t="s">
        <v>1676</v>
      </c>
      <c r="D732" t="s">
        <v>2081</v>
      </c>
      <c r="E732" t="s">
        <v>1678</v>
      </c>
    </row>
    <row r="733" spans="1:5" x14ac:dyDescent="0.4">
      <c r="A733" t="s">
        <v>2192</v>
      </c>
    </row>
    <row r="734" spans="1:5" x14ac:dyDescent="0.4">
      <c r="A734" t="s">
        <v>723</v>
      </c>
      <c r="B734">
        <v>3</v>
      </c>
      <c r="C734" t="s">
        <v>1676</v>
      </c>
      <c r="D734" t="s">
        <v>2109</v>
      </c>
      <c r="E734" t="s">
        <v>1678</v>
      </c>
    </row>
    <row r="735" spans="1:5" x14ac:dyDescent="0.4">
      <c r="A735" t="s">
        <v>723</v>
      </c>
      <c r="B735">
        <v>12</v>
      </c>
      <c r="C735" t="s">
        <v>1676</v>
      </c>
      <c r="D735" t="s">
        <v>2193</v>
      </c>
      <c r="E735" t="s">
        <v>1678</v>
      </c>
    </row>
    <row r="736" spans="1:5" x14ac:dyDescent="0.4">
      <c r="A736" t="s">
        <v>2194</v>
      </c>
    </row>
    <row r="737" spans="1:5" x14ac:dyDescent="0.4">
      <c r="A737" t="s">
        <v>2195</v>
      </c>
    </row>
    <row r="738" spans="1:5" x14ac:dyDescent="0.4">
      <c r="A738" t="s">
        <v>727</v>
      </c>
      <c r="B738">
        <v>2</v>
      </c>
      <c r="C738" t="s">
        <v>1676</v>
      </c>
      <c r="D738" t="s">
        <v>1693</v>
      </c>
      <c r="E738" t="s">
        <v>1678</v>
      </c>
    </row>
    <row r="739" spans="1:5" x14ac:dyDescent="0.4">
      <c r="A739" t="s">
        <v>727</v>
      </c>
      <c r="B739">
        <v>7</v>
      </c>
      <c r="C739" t="s">
        <v>1676</v>
      </c>
      <c r="D739" t="s">
        <v>1700</v>
      </c>
      <c r="E739" t="s">
        <v>1678</v>
      </c>
    </row>
    <row r="740" spans="1:5" x14ac:dyDescent="0.4">
      <c r="A740" t="s">
        <v>2196</v>
      </c>
    </row>
    <row r="741" spans="1:5" x14ac:dyDescent="0.4">
      <c r="A741" t="s">
        <v>2197</v>
      </c>
    </row>
    <row r="742" spans="1:5" x14ac:dyDescent="0.4">
      <c r="A742" t="s">
        <v>731</v>
      </c>
      <c r="B742">
        <v>1</v>
      </c>
      <c r="C742" t="s">
        <v>1676</v>
      </c>
      <c r="D742" t="s">
        <v>1693</v>
      </c>
      <c r="E742" t="s">
        <v>1678</v>
      </c>
    </row>
    <row r="743" spans="1:5" x14ac:dyDescent="0.4">
      <c r="A743" t="s">
        <v>2198</v>
      </c>
    </row>
    <row r="744" spans="1:5" x14ac:dyDescent="0.4">
      <c r="A744" t="s">
        <v>733</v>
      </c>
      <c r="B744">
        <v>2</v>
      </c>
      <c r="C744" t="s">
        <v>1676</v>
      </c>
      <c r="D744" t="s">
        <v>1699</v>
      </c>
      <c r="E744" t="s">
        <v>1678</v>
      </c>
    </row>
    <row r="745" spans="1:5" x14ac:dyDescent="0.4">
      <c r="A745" t="s">
        <v>2199</v>
      </c>
    </row>
    <row r="746" spans="1:5" x14ac:dyDescent="0.4">
      <c r="A746" t="s">
        <v>735</v>
      </c>
      <c r="B746">
        <v>13</v>
      </c>
      <c r="C746" t="s">
        <v>1676</v>
      </c>
      <c r="D746" t="s">
        <v>1689</v>
      </c>
      <c r="E746" t="s">
        <v>1678</v>
      </c>
    </row>
    <row r="747" spans="1:5" x14ac:dyDescent="0.4">
      <c r="A747" t="s">
        <v>735</v>
      </c>
      <c r="B747">
        <v>14</v>
      </c>
      <c r="C747" t="s">
        <v>1676</v>
      </c>
      <c r="D747" t="s">
        <v>1962</v>
      </c>
      <c r="E747" t="s">
        <v>1678</v>
      </c>
    </row>
    <row r="748" spans="1:5" x14ac:dyDescent="0.4">
      <c r="A748" t="s">
        <v>735</v>
      </c>
      <c r="B748">
        <v>15</v>
      </c>
      <c r="C748" t="s">
        <v>1676</v>
      </c>
      <c r="D748" t="s">
        <v>1780</v>
      </c>
      <c r="E748" t="s">
        <v>1678</v>
      </c>
    </row>
    <row r="749" spans="1:5" x14ac:dyDescent="0.4">
      <c r="A749" t="s">
        <v>2200</v>
      </c>
    </row>
    <row r="750" spans="1:5" x14ac:dyDescent="0.4">
      <c r="A750" t="s">
        <v>2201</v>
      </c>
    </row>
    <row r="751" spans="1:5" x14ac:dyDescent="0.4">
      <c r="A751" t="s">
        <v>739</v>
      </c>
      <c r="B751">
        <v>14</v>
      </c>
      <c r="C751" t="s">
        <v>1676</v>
      </c>
      <c r="D751" t="s">
        <v>1700</v>
      </c>
      <c r="E751" t="s">
        <v>1678</v>
      </c>
    </row>
    <row r="752" spans="1:5" x14ac:dyDescent="0.4">
      <c r="A752" t="s">
        <v>2202</v>
      </c>
    </row>
    <row r="753" spans="1:5" x14ac:dyDescent="0.4">
      <c r="A753" t="s">
        <v>741</v>
      </c>
      <c r="B753">
        <v>10</v>
      </c>
      <c r="C753" t="s">
        <v>1676</v>
      </c>
      <c r="D753" t="s">
        <v>1704</v>
      </c>
      <c r="E753" t="s">
        <v>1678</v>
      </c>
    </row>
    <row r="754" spans="1:5" x14ac:dyDescent="0.4">
      <c r="A754" t="s">
        <v>741</v>
      </c>
      <c r="B754">
        <v>15</v>
      </c>
      <c r="C754" t="s">
        <v>1676</v>
      </c>
      <c r="D754" t="s">
        <v>2100</v>
      </c>
      <c r="E754" t="s">
        <v>1678</v>
      </c>
    </row>
    <row r="755" spans="1:5" x14ac:dyDescent="0.4">
      <c r="A755" t="s">
        <v>2203</v>
      </c>
    </row>
    <row r="756" spans="1:5" x14ac:dyDescent="0.4">
      <c r="A756" t="s">
        <v>2204</v>
      </c>
    </row>
    <row r="757" spans="1:5" x14ac:dyDescent="0.4">
      <c r="A757" t="s">
        <v>2205</v>
      </c>
    </row>
    <row r="758" spans="1:5" x14ac:dyDescent="0.4">
      <c r="A758" t="s">
        <v>747</v>
      </c>
      <c r="B758">
        <v>20</v>
      </c>
      <c r="C758" t="s">
        <v>1676</v>
      </c>
      <c r="D758" t="s">
        <v>2206</v>
      </c>
      <c r="E758" t="s">
        <v>1678</v>
      </c>
    </row>
    <row r="759" spans="1:5" x14ac:dyDescent="0.4">
      <c r="A759" t="s">
        <v>2207</v>
      </c>
    </row>
    <row r="760" spans="1:5" x14ac:dyDescent="0.4">
      <c r="A760" t="s">
        <v>2208</v>
      </c>
    </row>
    <row r="761" spans="1:5" x14ac:dyDescent="0.4">
      <c r="A761" t="s">
        <v>751</v>
      </c>
      <c r="B761">
        <v>7</v>
      </c>
      <c r="C761" t="s">
        <v>1676</v>
      </c>
      <c r="D761" t="s">
        <v>1693</v>
      </c>
      <c r="E761" t="s">
        <v>1678</v>
      </c>
    </row>
    <row r="762" spans="1:5" x14ac:dyDescent="0.4">
      <c r="A762" t="s">
        <v>751</v>
      </c>
      <c r="B762">
        <v>8</v>
      </c>
      <c r="C762" t="s">
        <v>1676</v>
      </c>
      <c r="D762" t="s">
        <v>1681</v>
      </c>
      <c r="E762" t="s">
        <v>1678</v>
      </c>
    </row>
    <row r="763" spans="1:5" x14ac:dyDescent="0.4">
      <c r="A763" t="s">
        <v>751</v>
      </c>
      <c r="B763">
        <v>21</v>
      </c>
      <c r="C763" t="s">
        <v>1676</v>
      </c>
      <c r="D763" t="s">
        <v>1677</v>
      </c>
      <c r="E763" t="s">
        <v>1678</v>
      </c>
    </row>
    <row r="764" spans="1:5" x14ac:dyDescent="0.4">
      <c r="A764" t="s">
        <v>2209</v>
      </c>
    </row>
    <row r="765" spans="1:5" x14ac:dyDescent="0.4">
      <c r="A765" t="s">
        <v>753</v>
      </c>
      <c r="B765">
        <v>12</v>
      </c>
      <c r="C765" t="s">
        <v>1676</v>
      </c>
      <c r="D765" t="s">
        <v>1995</v>
      </c>
      <c r="E765" t="s">
        <v>1678</v>
      </c>
    </row>
    <row r="766" spans="1:5" x14ac:dyDescent="0.4">
      <c r="A766" t="s">
        <v>2210</v>
      </c>
    </row>
    <row r="767" spans="1:5" x14ac:dyDescent="0.4">
      <c r="A767" t="s">
        <v>755</v>
      </c>
      <c r="B767">
        <v>11</v>
      </c>
      <c r="C767" t="s">
        <v>1676</v>
      </c>
      <c r="D767" t="s">
        <v>1705</v>
      </c>
      <c r="E767" t="s">
        <v>1678</v>
      </c>
    </row>
    <row r="768" spans="1:5" x14ac:dyDescent="0.4">
      <c r="A768" t="s">
        <v>2211</v>
      </c>
    </row>
    <row r="769" spans="1:5" x14ac:dyDescent="0.4">
      <c r="A769" t="s">
        <v>2212</v>
      </c>
    </row>
    <row r="770" spans="1:5" x14ac:dyDescent="0.4">
      <c r="A770" t="s">
        <v>759</v>
      </c>
      <c r="B770">
        <v>16</v>
      </c>
      <c r="C770" t="s">
        <v>1676</v>
      </c>
      <c r="D770" t="s">
        <v>1696</v>
      </c>
      <c r="E770" t="s">
        <v>1678</v>
      </c>
    </row>
    <row r="771" spans="1:5" x14ac:dyDescent="0.4">
      <c r="A771" t="s">
        <v>2213</v>
      </c>
    </row>
    <row r="772" spans="1:5" x14ac:dyDescent="0.4">
      <c r="A772" t="s">
        <v>761</v>
      </c>
      <c r="B772">
        <v>1</v>
      </c>
      <c r="C772" t="s">
        <v>1676</v>
      </c>
      <c r="D772" t="s">
        <v>1696</v>
      </c>
      <c r="E772" t="s">
        <v>1678</v>
      </c>
    </row>
    <row r="773" spans="1:5" x14ac:dyDescent="0.4">
      <c r="A773" t="s">
        <v>761</v>
      </c>
      <c r="B773">
        <v>21</v>
      </c>
      <c r="C773" t="s">
        <v>1676</v>
      </c>
      <c r="D773" t="s">
        <v>2100</v>
      </c>
      <c r="E773" t="s">
        <v>1678</v>
      </c>
    </row>
    <row r="774" spans="1:5" x14ac:dyDescent="0.4">
      <c r="A774" t="s">
        <v>2214</v>
      </c>
    </row>
    <row r="775" spans="1:5" x14ac:dyDescent="0.4">
      <c r="A775" t="s">
        <v>763</v>
      </c>
      <c r="B775">
        <v>5</v>
      </c>
      <c r="C775" t="s">
        <v>1676</v>
      </c>
      <c r="D775" t="s">
        <v>2141</v>
      </c>
      <c r="E775" t="s">
        <v>1678</v>
      </c>
    </row>
    <row r="776" spans="1:5" x14ac:dyDescent="0.4">
      <c r="A776" t="s">
        <v>763</v>
      </c>
      <c r="B776">
        <v>9</v>
      </c>
      <c r="C776" t="s">
        <v>1676</v>
      </c>
      <c r="D776" t="s">
        <v>1815</v>
      </c>
      <c r="E776" t="s">
        <v>1678</v>
      </c>
    </row>
    <row r="777" spans="1:5" x14ac:dyDescent="0.4">
      <c r="A777" t="s">
        <v>763</v>
      </c>
      <c r="B777">
        <v>17</v>
      </c>
      <c r="C777" t="s">
        <v>1676</v>
      </c>
      <c r="D777" t="s">
        <v>1721</v>
      </c>
      <c r="E777" t="s">
        <v>1678</v>
      </c>
    </row>
    <row r="778" spans="1:5" x14ac:dyDescent="0.4">
      <c r="A778" t="s">
        <v>2215</v>
      </c>
    </row>
    <row r="779" spans="1:5" x14ac:dyDescent="0.4">
      <c r="A779" t="s">
        <v>765</v>
      </c>
      <c r="B779">
        <v>18</v>
      </c>
      <c r="C779" t="s">
        <v>1676</v>
      </c>
      <c r="D779" t="s">
        <v>1677</v>
      </c>
      <c r="E779" t="s">
        <v>1678</v>
      </c>
    </row>
    <row r="780" spans="1:5" x14ac:dyDescent="0.4">
      <c r="A780" t="s">
        <v>2216</v>
      </c>
    </row>
    <row r="781" spans="1:5" x14ac:dyDescent="0.4">
      <c r="A781" t="s">
        <v>2217</v>
      </c>
    </row>
    <row r="782" spans="1:5" x14ac:dyDescent="0.4">
      <c r="A782" t="s">
        <v>769</v>
      </c>
      <c r="B782">
        <v>12</v>
      </c>
      <c r="C782" t="s">
        <v>1676</v>
      </c>
      <c r="D782" t="s">
        <v>1690</v>
      </c>
      <c r="E782" t="s">
        <v>1678</v>
      </c>
    </row>
    <row r="783" spans="1:5" x14ac:dyDescent="0.4">
      <c r="A783" t="s">
        <v>2218</v>
      </c>
    </row>
    <row r="784" spans="1:5" x14ac:dyDescent="0.4">
      <c r="A784" t="s">
        <v>771</v>
      </c>
      <c r="B784">
        <v>11</v>
      </c>
      <c r="C784" t="s">
        <v>1676</v>
      </c>
      <c r="D784" t="s">
        <v>1720</v>
      </c>
      <c r="E784" t="s">
        <v>1678</v>
      </c>
    </row>
    <row r="785" spans="1:5" x14ac:dyDescent="0.4">
      <c r="A785" t="s">
        <v>2219</v>
      </c>
    </row>
    <row r="786" spans="1:5" x14ac:dyDescent="0.4">
      <c r="A786" t="s">
        <v>773</v>
      </c>
      <c r="B786">
        <v>13</v>
      </c>
      <c r="C786" t="s">
        <v>1676</v>
      </c>
      <c r="D786" t="s">
        <v>1737</v>
      </c>
      <c r="E786" t="s">
        <v>1678</v>
      </c>
    </row>
    <row r="787" spans="1:5" x14ac:dyDescent="0.4">
      <c r="A787" t="s">
        <v>773</v>
      </c>
      <c r="B787">
        <v>16</v>
      </c>
      <c r="C787" t="s">
        <v>1676</v>
      </c>
      <c r="D787" t="s">
        <v>2178</v>
      </c>
      <c r="E787" t="s">
        <v>1678</v>
      </c>
    </row>
    <row r="788" spans="1:5" x14ac:dyDescent="0.4">
      <c r="A788" t="s">
        <v>2220</v>
      </c>
    </row>
    <row r="789" spans="1:5" x14ac:dyDescent="0.4">
      <c r="A789" t="s">
        <v>2221</v>
      </c>
    </row>
    <row r="790" spans="1:5" x14ac:dyDescent="0.4">
      <c r="A790" t="s">
        <v>2222</v>
      </c>
    </row>
    <row r="791" spans="1:5" x14ac:dyDescent="0.4">
      <c r="A791" t="s">
        <v>779</v>
      </c>
      <c r="B791">
        <v>10</v>
      </c>
      <c r="C791" t="s">
        <v>1676</v>
      </c>
      <c r="D791" t="s">
        <v>1702</v>
      </c>
      <c r="E791" t="s">
        <v>1678</v>
      </c>
    </row>
    <row r="792" spans="1:5" x14ac:dyDescent="0.4">
      <c r="A792" t="s">
        <v>2223</v>
      </c>
    </row>
    <row r="793" spans="1:5" x14ac:dyDescent="0.4">
      <c r="A793" t="s">
        <v>781</v>
      </c>
      <c r="B793">
        <v>8</v>
      </c>
      <c r="C793" t="s">
        <v>1676</v>
      </c>
      <c r="D793" t="s">
        <v>2224</v>
      </c>
      <c r="E793" t="s">
        <v>1678</v>
      </c>
    </row>
    <row r="794" spans="1:5" x14ac:dyDescent="0.4">
      <c r="A794" t="s">
        <v>781</v>
      </c>
      <c r="B794">
        <v>19</v>
      </c>
      <c r="C794" t="s">
        <v>1676</v>
      </c>
      <c r="D794" t="s">
        <v>2114</v>
      </c>
      <c r="E794" t="s">
        <v>1678</v>
      </c>
    </row>
    <row r="795" spans="1:5" x14ac:dyDescent="0.4">
      <c r="A795" t="s">
        <v>2225</v>
      </c>
    </row>
    <row r="796" spans="1:5" x14ac:dyDescent="0.4">
      <c r="A796" t="s">
        <v>783</v>
      </c>
      <c r="B796">
        <v>11</v>
      </c>
      <c r="C796" t="s">
        <v>1676</v>
      </c>
      <c r="D796" t="s">
        <v>2100</v>
      </c>
      <c r="E796" t="s">
        <v>1678</v>
      </c>
    </row>
    <row r="797" spans="1:5" x14ac:dyDescent="0.4">
      <c r="A797" t="s">
        <v>2226</v>
      </c>
    </row>
    <row r="798" spans="1:5" x14ac:dyDescent="0.4">
      <c r="A798" t="s">
        <v>785</v>
      </c>
      <c r="B798">
        <v>12</v>
      </c>
      <c r="C798" t="s">
        <v>1676</v>
      </c>
      <c r="D798" t="s">
        <v>2158</v>
      </c>
      <c r="E798" t="s">
        <v>1678</v>
      </c>
    </row>
    <row r="799" spans="1:5" x14ac:dyDescent="0.4">
      <c r="A799" t="s">
        <v>2227</v>
      </c>
    </row>
    <row r="800" spans="1:5" x14ac:dyDescent="0.4">
      <c r="A800" t="s">
        <v>787</v>
      </c>
      <c r="B800">
        <v>1</v>
      </c>
      <c r="C800" t="s">
        <v>1676</v>
      </c>
      <c r="D800" t="s">
        <v>2228</v>
      </c>
      <c r="E800" t="s">
        <v>1678</v>
      </c>
    </row>
    <row r="801" spans="1:5" x14ac:dyDescent="0.4">
      <c r="A801" t="s">
        <v>787</v>
      </c>
      <c r="B801">
        <v>12</v>
      </c>
      <c r="C801" t="s">
        <v>1676</v>
      </c>
      <c r="D801" t="s">
        <v>1722</v>
      </c>
      <c r="E801" t="s">
        <v>1678</v>
      </c>
    </row>
    <row r="802" spans="1:5" x14ac:dyDescent="0.4">
      <c r="A802" t="s">
        <v>787</v>
      </c>
      <c r="B802">
        <v>18</v>
      </c>
      <c r="C802" t="s">
        <v>1676</v>
      </c>
      <c r="D802" t="s">
        <v>1702</v>
      </c>
      <c r="E802" t="s">
        <v>1678</v>
      </c>
    </row>
    <row r="803" spans="1:5" x14ac:dyDescent="0.4">
      <c r="A803" t="s">
        <v>2229</v>
      </c>
    </row>
    <row r="804" spans="1:5" x14ac:dyDescent="0.4">
      <c r="A804" t="s">
        <v>789</v>
      </c>
      <c r="B804">
        <v>3</v>
      </c>
      <c r="C804" t="s">
        <v>1676</v>
      </c>
      <c r="D804" t="s">
        <v>1724</v>
      </c>
      <c r="E804" t="s">
        <v>1678</v>
      </c>
    </row>
    <row r="805" spans="1:5" x14ac:dyDescent="0.4">
      <c r="A805" t="s">
        <v>789</v>
      </c>
      <c r="B805">
        <v>8</v>
      </c>
      <c r="C805" t="s">
        <v>1676</v>
      </c>
      <c r="D805" t="s">
        <v>1698</v>
      </c>
      <c r="E805" t="s">
        <v>1678</v>
      </c>
    </row>
    <row r="806" spans="1:5" x14ac:dyDescent="0.4">
      <c r="A806" t="s">
        <v>789</v>
      </c>
      <c r="B806">
        <v>11</v>
      </c>
      <c r="C806" t="s">
        <v>1676</v>
      </c>
      <c r="D806" t="s">
        <v>1751</v>
      </c>
      <c r="E806" t="s">
        <v>1678</v>
      </c>
    </row>
    <row r="807" spans="1:5" x14ac:dyDescent="0.4">
      <c r="A807" t="s">
        <v>789</v>
      </c>
      <c r="B807">
        <v>14</v>
      </c>
      <c r="C807" t="s">
        <v>1676</v>
      </c>
      <c r="D807" t="s">
        <v>1995</v>
      </c>
      <c r="E807" t="s">
        <v>1678</v>
      </c>
    </row>
    <row r="808" spans="1:5" x14ac:dyDescent="0.4">
      <c r="A808" t="s">
        <v>2230</v>
      </c>
    </row>
    <row r="809" spans="1:5" x14ac:dyDescent="0.4">
      <c r="A809" t="s">
        <v>791</v>
      </c>
      <c r="B809">
        <v>11</v>
      </c>
      <c r="C809" t="s">
        <v>1676</v>
      </c>
      <c r="D809" t="s">
        <v>2231</v>
      </c>
      <c r="E809" t="s">
        <v>1678</v>
      </c>
    </row>
    <row r="810" spans="1:5" x14ac:dyDescent="0.4">
      <c r="A810" t="s">
        <v>2232</v>
      </c>
    </row>
    <row r="811" spans="1:5" x14ac:dyDescent="0.4">
      <c r="A811" t="s">
        <v>793</v>
      </c>
      <c r="B811">
        <v>6</v>
      </c>
      <c r="C811" t="s">
        <v>1676</v>
      </c>
      <c r="D811" t="s">
        <v>1839</v>
      </c>
      <c r="E811" t="s">
        <v>1678</v>
      </c>
    </row>
    <row r="812" spans="1:5" x14ac:dyDescent="0.4">
      <c r="A812" t="s">
        <v>2233</v>
      </c>
    </row>
    <row r="813" spans="1:5" x14ac:dyDescent="0.4">
      <c r="A813" t="s">
        <v>795</v>
      </c>
      <c r="B813">
        <v>1</v>
      </c>
      <c r="C813" t="s">
        <v>1676</v>
      </c>
      <c r="D813" t="s">
        <v>2102</v>
      </c>
      <c r="E813" t="s">
        <v>1678</v>
      </c>
    </row>
    <row r="814" spans="1:5" x14ac:dyDescent="0.4">
      <c r="A814" t="s">
        <v>2234</v>
      </c>
    </row>
    <row r="815" spans="1:5" x14ac:dyDescent="0.4">
      <c r="A815" t="s">
        <v>797</v>
      </c>
      <c r="B815">
        <v>4</v>
      </c>
      <c r="C815" t="s">
        <v>1676</v>
      </c>
      <c r="D815" t="s">
        <v>1922</v>
      </c>
      <c r="E815" t="s">
        <v>1678</v>
      </c>
    </row>
    <row r="816" spans="1:5" x14ac:dyDescent="0.4">
      <c r="A816" t="s">
        <v>2235</v>
      </c>
    </row>
    <row r="817" spans="1:5" x14ac:dyDescent="0.4">
      <c r="A817" t="s">
        <v>2236</v>
      </c>
    </row>
    <row r="818" spans="1:5" x14ac:dyDescent="0.4">
      <c r="A818" t="s">
        <v>2237</v>
      </c>
    </row>
    <row r="819" spans="1:5" x14ac:dyDescent="0.4">
      <c r="A819" t="s">
        <v>803</v>
      </c>
      <c r="B819">
        <v>18</v>
      </c>
      <c r="C819" t="s">
        <v>1676</v>
      </c>
      <c r="D819" t="s">
        <v>1692</v>
      </c>
      <c r="E819" t="s">
        <v>1678</v>
      </c>
    </row>
    <row r="820" spans="1:5" x14ac:dyDescent="0.4">
      <c r="A820" t="s">
        <v>2238</v>
      </c>
    </row>
    <row r="821" spans="1:5" x14ac:dyDescent="0.4">
      <c r="A821" t="s">
        <v>805</v>
      </c>
      <c r="B821">
        <v>1</v>
      </c>
      <c r="C821" t="s">
        <v>1676</v>
      </c>
      <c r="D821" t="s">
        <v>2239</v>
      </c>
      <c r="E821" t="s">
        <v>1678</v>
      </c>
    </row>
    <row r="822" spans="1:5" x14ac:dyDescent="0.4">
      <c r="A822" t="s">
        <v>805</v>
      </c>
      <c r="B822">
        <v>4</v>
      </c>
      <c r="C822" t="s">
        <v>1676</v>
      </c>
      <c r="D822" t="s">
        <v>2240</v>
      </c>
      <c r="E822" t="s">
        <v>1678</v>
      </c>
    </row>
    <row r="823" spans="1:5" x14ac:dyDescent="0.4">
      <c r="A823" t="s">
        <v>805</v>
      </c>
      <c r="B823">
        <v>18</v>
      </c>
      <c r="C823" t="s">
        <v>1676</v>
      </c>
      <c r="D823" t="s">
        <v>2241</v>
      </c>
      <c r="E823" t="s">
        <v>1678</v>
      </c>
    </row>
    <row r="824" spans="1:5" x14ac:dyDescent="0.4">
      <c r="A824" t="s">
        <v>805</v>
      </c>
      <c r="B824">
        <v>21</v>
      </c>
      <c r="C824" t="s">
        <v>1676</v>
      </c>
      <c r="D824" t="s">
        <v>2242</v>
      </c>
      <c r="E824" t="s">
        <v>1678</v>
      </c>
    </row>
    <row r="825" spans="1:5" x14ac:dyDescent="0.4">
      <c r="A825" t="s">
        <v>2243</v>
      </c>
    </row>
    <row r="826" spans="1:5" x14ac:dyDescent="0.4">
      <c r="A826" t="s">
        <v>807</v>
      </c>
      <c r="B826">
        <v>5</v>
      </c>
      <c r="C826" t="s">
        <v>1676</v>
      </c>
      <c r="D826" t="s">
        <v>1945</v>
      </c>
      <c r="E826" t="s">
        <v>1678</v>
      </c>
    </row>
    <row r="827" spans="1:5" x14ac:dyDescent="0.4">
      <c r="A827" t="s">
        <v>807</v>
      </c>
      <c r="B827">
        <v>6</v>
      </c>
      <c r="C827" t="s">
        <v>1676</v>
      </c>
      <c r="D827" t="s">
        <v>1724</v>
      </c>
      <c r="E827" t="s">
        <v>1678</v>
      </c>
    </row>
    <row r="828" spans="1:5" x14ac:dyDescent="0.4">
      <c r="A828" t="s">
        <v>807</v>
      </c>
      <c r="B828">
        <v>18</v>
      </c>
      <c r="C828" t="s">
        <v>1676</v>
      </c>
      <c r="D828" t="s">
        <v>2244</v>
      </c>
      <c r="E828" t="s">
        <v>1678</v>
      </c>
    </row>
    <row r="829" spans="1:5" x14ac:dyDescent="0.4">
      <c r="A829" t="s">
        <v>2245</v>
      </c>
    </row>
    <row r="830" spans="1:5" x14ac:dyDescent="0.4">
      <c r="A830" t="s">
        <v>809</v>
      </c>
      <c r="B830">
        <v>5</v>
      </c>
      <c r="C830" t="s">
        <v>1676</v>
      </c>
      <c r="D830" t="s">
        <v>1696</v>
      </c>
      <c r="E830" t="s">
        <v>1678</v>
      </c>
    </row>
    <row r="831" spans="1:5" x14ac:dyDescent="0.4">
      <c r="A831" t="s">
        <v>809</v>
      </c>
      <c r="B831">
        <v>20</v>
      </c>
      <c r="C831" t="s">
        <v>1676</v>
      </c>
      <c r="D831" t="s">
        <v>2246</v>
      </c>
      <c r="E831" t="s">
        <v>1678</v>
      </c>
    </row>
    <row r="832" spans="1:5" x14ac:dyDescent="0.4">
      <c r="A832" t="s">
        <v>2247</v>
      </c>
    </row>
    <row r="833" spans="1:5" x14ac:dyDescent="0.4">
      <c r="A833" t="s">
        <v>811</v>
      </c>
      <c r="B833">
        <v>4</v>
      </c>
      <c r="C833" t="s">
        <v>1676</v>
      </c>
      <c r="D833" t="s">
        <v>2248</v>
      </c>
      <c r="E833" t="s">
        <v>1678</v>
      </c>
    </row>
    <row r="834" spans="1:5" x14ac:dyDescent="0.4">
      <c r="A834" t="s">
        <v>811</v>
      </c>
      <c r="B834">
        <v>8</v>
      </c>
      <c r="C834" t="s">
        <v>1676</v>
      </c>
      <c r="D834" t="s">
        <v>2249</v>
      </c>
      <c r="E834" t="s">
        <v>1678</v>
      </c>
    </row>
    <row r="835" spans="1:5" x14ac:dyDescent="0.4">
      <c r="A835" t="s">
        <v>811</v>
      </c>
      <c r="B835">
        <v>13</v>
      </c>
      <c r="C835" t="s">
        <v>1676</v>
      </c>
      <c r="D835" t="s">
        <v>1825</v>
      </c>
      <c r="E835" t="s">
        <v>1678</v>
      </c>
    </row>
    <row r="836" spans="1:5" x14ac:dyDescent="0.4">
      <c r="A836" t="s">
        <v>2250</v>
      </c>
    </row>
    <row r="837" spans="1:5" x14ac:dyDescent="0.4">
      <c r="A837" t="s">
        <v>813</v>
      </c>
      <c r="B837">
        <v>16</v>
      </c>
      <c r="C837" t="s">
        <v>1676</v>
      </c>
      <c r="D837" t="s">
        <v>1699</v>
      </c>
      <c r="E837" t="s">
        <v>1678</v>
      </c>
    </row>
    <row r="838" spans="1:5" x14ac:dyDescent="0.4">
      <c r="A838" t="s">
        <v>2251</v>
      </c>
    </row>
    <row r="839" spans="1:5" x14ac:dyDescent="0.4">
      <c r="A839" t="s">
        <v>815</v>
      </c>
      <c r="B839">
        <v>2</v>
      </c>
      <c r="C839" t="s">
        <v>1676</v>
      </c>
      <c r="D839" t="s">
        <v>2025</v>
      </c>
      <c r="E839" t="s">
        <v>1678</v>
      </c>
    </row>
    <row r="840" spans="1:5" x14ac:dyDescent="0.4">
      <c r="A840" t="s">
        <v>815</v>
      </c>
      <c r="B840">
        <v>4</v>
      </c>
      <c r="C840" t="s">
        <v>1676</v>
      </c>
      <c r="D840" t="s">
        <v>1705</v>
      </c>
      <c r="E840" t="s">
        <v>1678</v>
      </c>
    </row>
    <row r="841" spans="1:5" x14ac:dyDescent="0.4">
      <c r="A841" t="s">
        <v>2252</v>
      </c>
    </row>
    <row r="842" spans="1:5" x14ac:dyDescent="0.4">
      <c r="A842" t="s">
        <v>817</v>
      </c>
      <c r="B842">
        <v>15</v>
      </c>
      <c r="C842" t="s">
        <v>1676</v>
      </c>
      <c r="D842" t="s">
        <v>1926</v>
      </c>
      <c r="E842" t="s">
        <v>1678</v>
      </c>
    </row>
    <row r="843" spans="1:5" x14ac:dyDescent="0.4">
      <c r="A843" t="s">
        <v>817</v>
      </c>
      <c r="B843">
        <v>19</v>
      </c>
      <c r="C843" t="s">
        <v>1676</v>
      </c>
      <c r="D843" t="s">
        <v>1683</v>
      </c>
      <c r="E843" t="s">
        <v>1678</v>
      </c>
    </row>
    <row r="844" spans="1:5" x14ac:dyDescent="0.4">
      <c r="A844" t="s">
        <v>2253</v>
      </c>
    </row>
    <row r="845" spans="1:5" x14ac:dyDescent="0.4">
      <c r="A845" t="s">
        <v>819</v>
      </c>
      <c r="B845">
        <v>21</v>
      </c>
      <c r="C845" t="s">
        <v>1676</v>
      </c>
      <c r="D845" t="s">
        <v>2044</v>
      </c>
      <c r="E845" t="s">
        <v>1678</v>
      </c>
    </row>
    <row r="846" spans="1:5" x14ac:dyDescent="0.4">
      <c r="A846" t="s">
        <v>2254</v>
      </c>
    </row>
    <row r="847" spans="1:5" x14ac:dyDescent="0.4">
      <c r="A847" t="s">
        <v>821</v>
      </c>
      <c r="B847">
        <v>19</v>
      </c>
      <c r="C847" t="s">
        <v>1676</v>
      </c>
      <c r="D847" t="s">
        <v>1698</v>
      </c>
      <c r="E847" t="s">
        <v>1678</v>
      </c>
    </row>
    <row r="848" spans="1:5" x14ac:dyDescent="0.4">
      <c r="A848" t="s">
        <v>2255</v>
      </c>
    </row>
    <row r="849" spans="1:5" x14ac:dyDescent="0.4">
      <c r="A849" t="s">
        <v>2256</v>
      </c>
    </row>
    <row r="850" spans="1:5" x14ac:dyDescent="0.4">
      <c r="A850" t="s">
        <v>825</v>
      </c>
      <c r="B850">
        <v>2</v>
      </c>
      <c r="C850" t="s">
        <v>1676</v>
      </c>
      <c r="D850" t="s">
        <v>1922</v>
      </c>
      <c r="E850" t="s">
        <v>1678</v>
      </c>
    </row>
    <row r="851" spans="1:5" x14ac:dyDescent="0.4">
      <c r="A851" t="s">
        <v>2257</v>
      </c>
    </row>
    <row r="852" spans="1:5" x14ac:dyDescent="0.4">
      <c r="A852" t="s">
        <v>2258</v>
      </c>
    </row>
    <row r="853" spans="1:5" x14ac:dyDescent="0.4">
      <c r="A853" t="s">
        <v>829</v>
      </c>
      <c r="B853">
        <v>2</v>
      </c>
      <c r="C853" t="s">
        <v>1676</v>
      </c>
      <c r="D853" t="s">
        <v>1720</v>
      </c>
      <c r="E853" t="s">
        <v>1678</v>
      </c>
    </row>
    <row r="854" spans="1:5" x14ac:dyDescent="0.4">
      <c r="A854" t="s">
        <v>2259</v>
      </c>
    </row>
    <row r="855" spans="1:5" x14ac:dyDescent="0.4">
      <c r="A855" t="s">
        <v>2260</v>
      </c>
    </row>
    <row r="856" spans="1:5" x14ac:dyDescent="0.4">
      <c r="A856" t="s">
        <v>2261</v>
      </c>
    </row>
    <row r="857" spans="1:5" x14ac:dyDescent="0.4">
      <c r="A857" t="s">
        <v>835</v>
      </c>
      <c r="B857">
        <v>3</v>
      </c>
      <c r="C857" t="s">
        <v>1676</v>
      </c>
      <c r="D857" t="s">
        <v>1677</v>
      </c>
      <c r="E857" t="s">
        <v>1678</v>
      </c>
    </row>
    <row r="858" spans="1:5" x14ac:dyDescent="0.4">
      <c r="A858" t="s">
        <v>835</v>
      </c>
      <c r="B858">
        <v>11</v>
      </c>
      <c r="C858" t="s">
        <v>1676</v>
      </c>
      <c r="D858" t="s">
        <v>1864</v>
      </c>
      <c r="E858" t="s">
        <v>1678</v>
      </c>
    </row>
    <row r="859" spans="1:5" x14ac:dyDescent="0.4">
      <c r="A859" t="s">
        <v>835</v>
      </c>
      <c r="B859">
        <v>12</v>
      </c>
      <c r="C859" t="s">
        <v>1676</v>
      </c>
      <c r="D859" t="s">
        <v>1726</v>
      </c>
      <c r="E859" t="s">
        <v>1678</v>
      </c>
    </row>
    <row r="860" spans="1:5" x14ac:dyDescent="0.4">
      <c r="A860" t="s">
        <v>835</v>
      </c>
      <c r="B860">
        <v>15</v>
      </c>
      <c r="C860" t="s">
        <v>1676</v>
      </c>
      <c r="D860" t="s">
        <v>1829</v>
      </c>
      <c r="E860" t="s">
        <v>1678</v>
      </c>
    </row>
    <row r="861" spans="1:5" x14ac:dyDescent="0.4">
      <c r="A861" t="s">
        <v>835</v>
      </c>
      <c r="B861">
        <v>16</v>
      </c>
      <c r="C861" t="s">
        <v>1676</v>
      </c>
      <c r="D861" t="s">
        <v>1810</v>
      </c>
      <c r="E861" t="s">
        <v>1678</v>
      </c>
    </row>
    <row r="862" spans="1:5" x14ac:dyDescent="0.4">
      <c r="A862" t="s">
        <v>2262</v>
      </c>
    </row>
    <row r="863" spans="1:5" x14ac:dyDescent="0.4">
      <c r="A863" t="s">
        <v>2263</v>
      </c>
    </row>
    <row r="864" spans="1:5" x14ac:dyDescent="0.4">
      <c r="A864" t="s">
        <v>839</v>
      </c>
      <c r="B864">
        <v>2</v>
      </c>
      <c r="C864" t="s">
        <v>1676</v>
      </c>
      <c r="D864" t="s">
        <v>1696</v>
      </c>
      <c r="E864" t="s">
        <v>1678</v>
      </c>
    </row>
    <row r="865" spans="1:5" x14ac:dyDescent="0.4">
      <c r="A865" t="s">
        <v>839</v>
      </c>
      <c r="B865">
        <v>17</v>
      </c>
      <c r="C865" t="s">
        <v>1676</v>
      </c>
      <c r="D865" t="s">
        <v>1687</v>
      </c>
      <c r="E865" t="s">
        <v>1678</v>
      </c>
    </row>
    <row r="866" spans="1:5" x14ac:dyDescent="0.4">
      <c r="A866" t="s">
        <v>2264</v>
      </c>
    </row>
    <row r="867" spans="1:5" x14ac:dyDescent="0.4">
      <c r="A867" t="s">
        <v>2265</v>
      </c>
    </row>
    <row r="868" spans="1:5" x14ac:dyDescent="0.4">
      <c r="A868" t="s">
        <v>843</v>
      </c>
      <c r="B868">
        <v>17</v>
      </c>
      <c r="C868" t="s">
        <v>1676</v>
      </c>
      <c r="D868" t="s">
        <v>2266</v>
      </c>
      <c r="E868" t="s">
        <v>1678</v>
      </c>
    </row>
    <row r="869" spans="1:5" x14ac:dyDescent="0.4">
      <c r="A869" t="s">
        <v>2267</v>
      </c>
    </row>
    <row r="870" spans="1:5" x14ac:dyDescent="0.4">
      <c r="A870" t="s">
        <v>845</v>
      </c>
      <c r="B870">
        <v>4</v>
      </c>
      <c r="C870" t="s">
        <v>1676</v>
      </c>
      <c r="D870" t="s">
        <v>1703</v>
      </c>
      <c r="E870" t="s">
        <v>1678</v>
      </c>
    </row>
    <row r="871" spans="1:5" x14ac:dyDescent="0.4">
      <c r="A871" t="s">
        <v>845</v>
      </c>
      <c r="B871">
        <v>11</v>
      </c>
      <c r="C871" t="s">
        <v>1676</v>
      </c>
      <c r="D871" t="s">
        <v>1696</v>
      </c>
      <c r="E871" t="s">
        <v>1678</v>
      </c>
    </row>
    <row r="872" spans="1:5" x14ac:dyDescent="0.4">
      <c r="A872" t="s">
        <v>2268</v>
      </c>
    </row>
    <row r="873" spans="1:5" x14ac:dyDescent="0.4">
      <c r="A873" t="s">
        <v>847</v>
      </c>
      <c r="B873">
        <v>14</v>
      </c>
      <c r="C873" t="s">
        <v>1676</v>
      </c>
      <c r="D873" t="s">
        <v>1683</v>
      </c>
      <c r="E873" t="s">
        <v>1678</v>
      </c>
    </row>
    <row r="874" spans="1:5" x14ac:dyDescent="0.4">
      <c r="A874" t="s">
        <v>2269</v>
      </c>
    </row>
    <row r="875" spans="1:5" x14ac:dyDescent="0.4">
      <c r="A875" t="s">
        <v>849</v>
      </c>
      <c r="B875">
        <v>3</v>
      </c>
      <c r="C875" t="s">
        <v>1676</v>
      </c>
      <c r="D875" t="s">
        <v>2081</v>
      </c>
      <c r="E875" t="s">
        <v>1678</v>
      </c>
    </row>
    <row r="876" spans="1:5" x14ac:dyDescent="0.4">
      <c r="A876" t="s">
        <v>849</v>
      </c>
      <c r="B876">
        <v>7</v>
      </c>
      <c r="C876" t="s">
        <v>1676</v>
      </c>
      <c r="D876" t="s">
        <v>1749</v>
      </c>
      <c r="E876" t="s">
        <v>1678</v>
      </c>
    </row>
    <row r="877" spans="1:5" x14ac:dyDescent="0.4">
      <c r="A877" t="s">
        <v>849</v>
      </c>
      <c r="B877">
        <v>13</v>
      </c>
      <c r="C877" t="s">
        <v>1676</v>
      </c>
      <c r="D877" t="s">
        <v>1690</v>
      </c>
      <c r="E877" t="s">
        <v>1678</v>
      </c>
    </row>
    <row r="878" spans="1:5" x14ac:dyDescent="0.4">
      <c r="A878" t="s">
        <v>2270</v>
      </c>
    </row>
    <row r="879" spans="1:5" x14ac:dyDescent="0.4">
      <c r="A879" t="s">
        <v>2271</v>
      </c>
    </row>
    <row r="880" spans="1:5" x14ac:dyDescent="0.4">
      <c r="A880" t="s">
        <v>853</v>
      </c>
      <c r="B880">
        <v>11</v>
      </c>
      <c r="C880" t="s">
        <v>1676</v>
      </c>
      <c r="D880" t="s">
        <v>1780</v>
      </c>
      <c r="E880" t="s">
        <v>1678</v>
      </c>
    </row>
    <row r="881" spans="1:5" x14ac:dyDescent="0.4">
      <c r="A881" t="s">
        <v>2272</v>
      </c>
    </row>
    <row r="882" spans="1:5" x14ac:dyDescent="0.4">
      <c r="A882" t="s">
        <v>855</v>
      </c>
      <c r="B882">
        <v>3</v>
      </c>
      <c r="C882" t="s">
        <v>1676</v>
      </c>
      <c r="D882" t="s">
        <v>1744</v>
      </c>
      <c r="E882" t="s">
        <v>1678</v>
      </c>
    </row>
    <row r="883" spans="1:5" x14ac:dyDescent="0.4">
      <c r="A883" t="s">
        <v>855</v>
      </c>
      <c r="B883">
        <v>8</v>
      </c>
      <c r="C883" t="s">
        <v>1676</v>
      </c>
      <c r="D883" t="s">
        <v>1698</v>
      </c>
      <c r="E883" t="s">
        <v>1678</v>
      </c>
    </row>
    <row r="884" spans="1:5" x14ac:dyDescent="0.4">
      <c r="A884" t="s">
        <v>855</v>
      </c>
      <c r="B884">
        <v>14</v>
      </c>
      <c r="C884" t="s">
        <v>1676</v>
      </c>
      <c r="D884" t="s">
        <v>1744</v>
      </c>
      <c r="E884" t="s">
        <v>1678</v>
      </c>
    </row>
    <row r="885" spans="1:5" x14ac:dyDescent="0.4">
      <c r="A885" t="s">
        <v>2273</v>
      </c>
    </row>
    <row r="886" spans="1:5" x14ac:dyDescent="0.4">
      <c r="A886" t="s">
        <v>857</v>
      </c>
      <c r="B886">
        <v>3</v>
      </c>
      <c r="C886" t="s">
        <v>1676</v>
      </c>
      <c r="D886" t="s">
        <v>1679</v>
      </c>
      <c r="E886" t="s">
        <v>1678</v>
      </c>
    </row>
    <row r="887" spans="1:5" x14ac:dyDescent="0.4">
      <c r="A887" t="s">
        <v>857</v>
      </c>
      <c r="B887">
        <v>6</v>
      </c>
      <c r="C887" t="s">
        <v>1676</v>
      </c>
      <c r="D887" t="s">
        <v>1995</v>
      </c>
      <c r="E887" t="s">
        <v>1678</v>
      </c>
    </row>
    <row r="888" spans="1:5" x14ac:dyDescent="0.4">
      <c r="A888" t="s">
        <v>857</v>
      </c>
      <c r="B888">
        <v>14</v>
      </c>
      <c r="C888" t="s">
        <v>1676</v>
      </c>
      <c r="D888" t="s">
        <v>1725</v>
      </c>
      <c r="E888" t="s">
        <v>1678</v>
      </c>
    </row>
    <row r="889" spans="1:5" x14ac:dyDescent="0.4">
      <c r="A889" t="s">
        <v>857</v>
      </c>
      <c r="B889">
        <v>20</v>
      </c>
      <c r="C889" t="s">
        <v>1676</v>
      </c>
      <c r="D889" t="s">
        <v>1962</v>
      </c>
      <c r="E889" t="s">
        <v>1678</v>
      </c>
    </row>
    <row r="890" spans="1:5" x14ac:dyDescent="0.4">
      <c r="A890" t="s">
        <v>2274</v>
      </c>
    </row>
    <row r="891" spans="1:5" x14ac:dyDescent="0.4">
      <c r="A891" t="s">
        <v>859</v>
      </c>
      <c r="B891">
        <v>11</v>
      </c>
      <c r="C891" t="s">
        <v>1676</v>
      </c>
      <c r="D891" t="s">
        <v>1800</v>
      </c>
      <c r="E891" t="s">
        <v>1678</v>
      </c>
    </row>
    <row r="892" spans="1:5" x14ac:dyDescent="0.4">
      <c r="A892" t="s">
        <v>859</v>
      </c>
      <c r="B892">
        <v>19</v>
      </c>
      <c r="C892" t="s">
        <v>1676</v>
      </c>
      <c r="D892" t="s">
        <v>1922</v>
      </c>
      <c r="E892" t="s">
        <v>1678</v>
      </c>
    </row>
    <row r="893" spans="1:5" x14ac:dyDescent="0.4">
      <c r="A893" t="s">
        <v>2275</v>
      </c>
    </row>
    <row r="894" spans="1:5" x14ac:dyDescent="0.4">
      <c r="A894" t="s">
        <v>861</v>
      </c>
      <c r="B894">
        <v>16</v>
      </c>
      <c r="C894" t="s">
        <v>1676</v>
      </c>
      <c r="D894" t="s">
        <v>1726</v>
      </c>
      <c r="E894" t="s">
        <v>1678</v>
      </c>
    </row>
    <row r="895" spans="1:5" x14ac:dyDescent="0.4">
      <c r="A895" t="s">
        <v>2276</v>
      </c>
    </row>
    <row r="896" spans="1:5" x14ac:dyDescent="0.4">
      <c r="A896" t="s">
        <v>863</v>
      </c>
      <c r="B896">
        <v>11</v>
      </c>
      <c r="C896" t="s">
        <v>1676</v>
      </c>
      <c r="D896" t="s">
        <v>1815</v>
      </c>
      <c r="E896" t="s">
        <v>1678</v>
      </c>
    </row>
    <row r="897" spans="1:5" x14ac:dyDescent="0.4">
      <c r="A897" t="s">
        <v>863</v>
      </c>
      <c r="B897">
        <v>17</v>
      </c>
      <c r="C897" t="s">
        <v>1676</v>
      </c>
      <c r="D897" t="s">
        <v>1719</v>
      </c>
      <c r="E897" t="s">
        <v>1678</v>
      </c>
    </row>
    <row r="898" spans="1:5" x14ac:dyDescent="0.4">
      <c r="A898" t="s">
        <v>863</v>
      </c>
      <c r="B898">
        <v>20</v>
      </c>
      <c r="C898" t="s">
        <v>1676</v>
      </c>
      <c r="D898" t="s">
        <v>1740</v>
      </c>
      <c r="E898" t="s">
        <v>1678</v>
      </c>
    </row>
    <row r="899" spans="1:5" x14ac:dyDescent="0.4">
      <c r="A899" t="s">
        <v>2277</v>
      </c>
    </row>
    <row r="900" spans="1:5" x14ac:dyDescent="0.4">
      <c r="A900" t="s">
        <v>865</v>
      </c>
      <c r="B900">
        <v>14</v>
      </c>
      <c r="C900" t="s">
        <v>1676</v>
      </c>
      <c r="D900" t="s">
        <v>2109</v>
      </c>
      <c r="E900" t="s">
        <v>1678</v>
      </c>
    </row>
    <row r="901" spans="1:5" x14ac:dyDescent="0.4">
      <c r="A901" t="s">
        <v>865</v>
      </c>
      <c r="B901">
        <v>21</v>
      </c>
      <c r="C901" t="s">
        <v>1676</v>
      </c>
      <c r="D901" t="s">
        <v>2097</v>
      </c>
      <c r="E901" t="s">
        <v>1678</v>
      </c>
    </row>
    <row r="902" spans="1:5" x14ac:dyDescent="0.4">
      <c r="A902" t="s">
        <v>2278</v>
      </c>
    </row>
    <row r="903" spans="1:5" x14ac:dyDescent="0.4">
      <c r="A903" t="s">
        <v>867</v>
      </c>
      <c r="B903">
        <v>11</v>
      </c>
      <c r="C903" t="s">
        <v>1676</v>
      </c>
      <c r="D903" t="s">
        <v>2081</v>
      </c>
      <c r="E903" t="s">
        <v>1678</v>
      </c>
    </row>
    <row r="904" spans="1:5" x14ac:dyDescent="0.4">
      <c r="A904" t="s">
        <v>2279</v>
      </c>
    </row>
    <row r="905" spans="1:5" x14ac:dyDescent="0.4">
      <c r="A905" t="s">
        <v>2280</v>
      </c>
    </row>
    <row r="906" spans="1:5" x14ac:dyDescent="0.4">
      <c r="A906" t="s">
        <v>871</v>
      </c>
      <c r="B906">
        <v>13</v>
      </c>
      <c r="C906" t="s">
        <v>1676</v>
      </c>
      <c r="D906" t="s">
        <v>2281</v>
      </c>
      <c r="E906" t="s">
        <v>1678</v>
      </c>
    </row>
    <row r="907" spans="1:5" x14ac:dyDescent="0.4">
      <c r="A907" t="s">
        <v>2282</v>
      </c>
    </row>
    <row r="908" spans="1:5" x14ac:dyDescent="0.4">
      <c r="A908" t="s">
        <v>873</v>
      </c>
      <c r="B908">
        <v>3</v>
      </c>
      <c r="C908" t="s">
        <v>1676</v>
      </c>
      <c r="D908" t="s">
        <v>1780</v>
      </c>
      <c r="E908" t="s">
        <v>1678</v>
      </c>
    </row>
    <row r="909" spans="1:5" x14ac:dyDescent="0.4">
      <c r="A909" t="s">
        <v>873</v>
      </c>
      <c r="B909">
        <v>8</v>
      </c>
      <c r="C909" t="s">
        <v>1676</v>
      </c>
      <c r="D909" t="s">
        <v>1693</v>
      </c>
      <c r="E909" t="s">
        <v>1678</v>
      </c>
    </row>
    <row r="910" spans="1:5" x14ac:dyDescent="0.4">
      <c r="A910" t="s">
        <v>873</v>
      </c>
      <c r="B910">
        <v>9</v>
      </c>
      <c r="C910" t="s">
        <v>1676</v>
      </c>
      <c r="D910" t="s">
        <v>1681</v>
      </c>
      <c r="E910" t="s">
        <v>1678</v>
      </c>
    </row>
    <row r="911" spans="1:5" x14ac:dyDescent="0.4">
      <c r="A911" t="s">
        <v>873</v>
      </c>
      <c r="B911">
        <v>11</v>
      </c>
      <c r="C911" t="s">
        <v>1676</v>
      </c>
      <c r="D911" t="s">
        <v>1742</v>
      </c>
      <c r="E911" t="s">
        <v>1678</v>
      </c>
    </row>
    <row r="912" spans="1:5" x14ac:dyDescent="0.4">
      <c r="A912" t="s">
        <v>2283</v>
      </c>
    </row>
    <row r="913" spans="1:5" x14ac:dyDescent="0.4">
      <c r="A913" t="s">
        <v>2284</v>
      </c>
    </row>
    <row r="914" spans="1:5" x14ac:dyDescent="0.4">
      <c r="A914" t="s">
        <v>877</v>
      </c>
      <c r="B914">
        <v>10</v>
      </c>
      <c r="C914" t="s">
        <v>1676</v>
      </c>
      <c r="D914" t="s">
        <v>1694</v>
      </c>
      <c r="E914" t="s">
        <v>1678</v>
      </c>
    </row>
    <row r="915" spans="1:5" x14ac:dyDescent="0.4">
      <c r="A915" t="s">
        <v>877</v>
      </c>
      <c r="B915">
        <v>20</v>
      </c>
      <c r="C915" t="s">
        <v>1676</v>
      </c>
      <c r="D915" t="s">
        <v>1691</v>
      </c>
      <c r="E915" t="s">
        <v>1678</v>
      </c>
    </row>
    <row r="916" spans="1:5" x14ac:dyDescent="0.4">
      <c r="A916" t="s">
        <v>2285</v>
      </c>
    </row>
    <row r="917" spans="1:5" x14ac:dyDescent="0.4">
      <c r="A917" t="s">
        <v>2286</v>
      </c>
    </row>
    <row r="918" spans="1:5" x14ac:dyDescent="0.4">
      <c r="A918" t="s">
        <v>881</v>
      </c>
      <c r="B918">
        <v>10</v>
      </c>
      <c r="C918" t="s">
        <v>1676</v>
      </c>
      <c r="D918" t="s">
        <v>1691</v>
      </c>
      <c r="E918" t="s">
        <v>1678</v>
      </c>
    </row>
    <row r="919" spans="1:5" x14ac:dyDescent="0.4">
      <c r="A919" t="s">
        <v>2287</v>
      </c>
    </row>
    <row r="920" spans="1:5" x14ac:dyDescent="0.4">
      <c r="A920" t="s">
        <v>2288</v>
      </c>
    </row>
    <row r="921" spans="1:5" x14ac:dyDescent="0.4">
      <c r="A921" t="s">
        <v>2289</v>
      </c>
    </row>
    <row r="922" spans="1:5" x14ac:dyDescent="0.4">
      <c r="A922" t="s">
        <v>887</v>
      </c>
      <c r="B922">
        <v>11</v>
      </c>
      <c r="C922" t="s">
        <v>1676</v>
      </c>
      <c r="D922" t="s">
        <v>2246</v>
      </c>
      <c r="E922" t="s">
        <v>1678</v>
      </c>
    </row>
    <row r="923" spans="1:5" x14ac:dyDescent="0.4">
      <c r="A923" t="s">
        <v>2290</v>
      </c>
    </row>
    <row r="924" spans="1:5" x14ac:dyDescent="0.4">
      <c r="A924" t="s">
        <v>889</v>
      </c>
      <c r="B924">
        <v>15</v>
      </c>
      <c r="C924" t="s">
        <v>1676</v>
      </c>
      <c r="D924" t="s">
        <v>1788</v>
      </c>
      <c r="E924" t="s">
        <v>1678</v>
      </c>
    </row>
    <row r="925" spans="1:5" x14ac:dyDescent="0.4">
      <c r="A925" t="s">
        <v>889</v>
      </c>
      <c r="B925">
        <v>16</v>
      </c>
      <c r="C925" t="s">
        <v>1676</v>
      </c>
      <c r="D925" t="s">
        <v>2291</v>
      </c>
      <c r="E925" t="s">
        <v>1678</v>
      </c>
    </row>
    <row r="926" spans="1:5" x14ac:dyDescent="0.4">
      <c r="A926" t="s">
        <v>889</v>
      </c>
      <c r="B926">
        <v>20</v>
      </c>
      <c r="C926" t="s">
        <v>1676</v>
      </c>
      <c r="D926" t="s">
        <v>1685</v>
      </c>
      <c r="E926" t="s">
        <v>1678</v>
      </c>
    </row>
    <row r="927" spans="1:5" x14ac:dyDescent="0.4">
      <c r="A927" t="s">
        <v>2292</v>
      </c>
    </row>
    <row r="928" spans="1:5" x14ac:dyDescent="0.4">
      <c r="A928" t="s">
        <v>891</v>
      </c>
      <c r="B928">
        <v>6</v>
      </c>
      <c r="C928" t="s">
        <v>1676</v>
      </c>
      <c r="D928" t="s">
        <v>1790</v>
      </c>
      <c r="E928" t="s">
        <v>1678</v>
      </c>
    </row>
    <row r="929" spans="1:5" x14ac:dyDescent="0.4">
      <c r="A929" t="s">
        <v>2293</v>
      </c>
    </row>
    <row r="930" spans="1:5" x14ac:dyDescent="0.4">
      <c r="A930" t="s">
        <v>893</v>
      </c>
      <c r="B930">
        <v>5</v>
      </c>
      <c r="C930" t="s">
        <v>1676</v>
      </c>
      <c r="D930" t="s">
        <v>1703</v>
      </c>
      <c r="E930" t="s">
        <v>1678</v>
      </c>
    </row>
    <row r="931" spans="1:5" x14ac:dyDescent="0.4">
      <c r="A931" t="s">
        <v>893</v>
      </c>
      <c r="B931">
        <v>7</v>
      </c>
      <c r="C931" t="s">
        <v>1676</v>
      </c>
      <c r="D931" t="s">
        <v>1691</v>
      </c>
      <c r="E931" t="s">
        <v>1678</v>
      </c>
    </row>
    <row r="932" spans="1:5" x14ac:dyDescent="0.4">
      <c r="A932" t="s">
        <v>893</v>
      </c>
      <c r="B932">
        <v>18</v>
      </c>
      <c r="C932" t="s">
        <v>1676</v>
      </c>
      <c r="D932" t="s">
        <v>1726</v>
      </c>
      <c r="E932" t="s">
        <v>1678</v>
      </c>
    </row>
    <row r="933" spans="1:5" x14ac:dyDescent="0.4">
      <c r="A933" t="s">
        <v>2294</v>
      </c>
    </row>
    <row r="934" spans="1:5" x14ac:dyDescent="0.4">
      <c r="A934" t="s">
        <v>2295</v>
      </c>
    </row>
    <row r="935" spans="1:5" x14ac:dyDescent="0.4">
      <c r="A935" t="s">
        <v>897</v>
      </c>
      <c r="B935">
        <v>7</v>
      </c>
      <c r="C935" t="s">
        <v>1676</v>
      </c>
      <c r="D935" t="s">
        <v>2102</v>
      </c>
      <c r="E935" t="s">
        <v>1678</v>
      </c>
    </row>
    <row r="936" spans="1:5" x14ac:dyDescent="0.4">
      <c r="A936" t="s">
        <v>897</v>
      </c>
      <c r="B936">
        <v>8</v>
      </c>
      <c r="C936" t="s">
        <v>1676</v>
      </c>
      <c r="D936" t="s">
        <v>2100</v>
      </c>
      <c r="E936" t="s">
        <v>1678</v>
      </c>
    </row>
    <row r="937" spans="1:5" x14ac:dyDescent="0.4">
      <c r="A937" t="s">
        <v>897</v>
      </c>
      <c r="B937">
        <v>11</v>
      </c>
      <c r="C937" t="s">
        <v>1676</v>
      </c>
      <c r="D937" t="s">
        <v>1739</v>
      </c>
      <c r="E937" t="s">
        <v>1678</v>
      </c>
    </row>
    <row r="938" spans="1:5" x14ac:dyDescent="0.4">
      <c r="A938" t="s">
        <v>897</v>
      </c>
      <c r="B938">
        <v>12</v>
      </c>
      <c r="C938" t="s">
        <v>1676</v>
      </c>
      <c r="D938" t="s">
        <v>2296</v>
      </c>
      <c r="E938" t="s">
        <v>1678</v>
      </c>
    </row>
    <row r="939" spans="1:5" x14ac:dyDescent="0.4">
      <c r="A939" t="s">
        <v>2297</v>
      </c>
    </row>
    <row r="940" spans="1:5" x14ac:dyDescent="0.4">
      <c r="A940" t="s">
        <v>899</v>
      </c>
      <c r="B940">
        <v>8</v>
      </c>
      <c r="C940" t="s">
        <v>1676</v>
      </c>
      <c r="D940" t="s">
        <v>1704</v>
      </c>
      <c r="E940" t="s">
        <v>1678</v>
      </c>
    </row>
    <row r="941" spans="1:5" x14ac:dyDescent="0.4">
      <c r="A941" t="s">
        <v>2298</v>
      </c>
    </row>
    <row r="942" spans="1:5" x14ac:dyDescent="0.4">
      <c r="A942" t="s">
        <v>901</v>
      </c>
      <c r="B942">
        <v>2</v>
      </c>
      <c r="C942" t="s">
        <v>1676</v>
      </c>
      <c r="D942" t="s">
        <v>1691</v>
      </c>
      <c r="E942" t="s">
        <v>1678</v>
      </c>
    </row>
    <row r="943" spans="1:5" x14ac:dyDescent="0.4">
      <c r="A943" t="s">
        <v>901</v>
      </c>
      <c r="B943">
        <v>8</v>
      </c>
      <c r="C943" t="s">
        <v>1676</v>
      </c>
      <c r="D943" t="s">
        <v>1737</v>
      </c>
      <c r="E943" t="s">
        <v>1678</v>
      </c>
    </row>
    <row r="944" spans="1:5" x14ac:dyDescent="0.4">
      <c r="A944" t="s">
        <v>901</v>
      </c>
      <c r="B944">
        <v>11</v>
      </c>
      <c r="C944" t="s">
        <v>1676</v>
      </c>
      <c r="D944" t="s">
        <v>1742</v>
      </c>
      <c r="E944" t="s">
        <v>1678</v>
      </c>
    </row>
    <row r="945" spans="1:5" x14ac:dyDescent="0.4">
      <c r="A945" t="s">
        <v>2299</v>
      </c>
    </row>
    <row r="946" spans="1:5" x14ac:dyDescent="0.4">
      <c r="A946" t="s">
        <v>903</v>
      </c>
      <c r="B946">
        <v>21</v>
      </c>
      <c r="C946" t="s">
        <v>1676</v>
      </c>
      <c r="D946" t="s">
        <v>1945</v>
      </c>
      <c r="E946" t="s">
        <v>1678</v>
      </c>
    </row>
    <row r="947" spans="1:5" x14ac:dyDescent="0.4">
      <c r="A947" t="s">
        <v>2300</v>
      </c>
    </row>
    <row r="948" spans="1:5" x14ac:dyDescent="0.4">
      <c r="A948" t="s">
        <v>2301</v>
      </c>
    </row>
    <row r="949" spans="1:5" x14ac:dyDescent="0.4">
      <c r="A949" t="s">
        <v>907</v>
      </c>
      <c r="B949">
        <v>2</v>
      </c>
      <c r="C949" t="s">
        <v>1676</v>
      </c>
      <c r="D949" t="s">
        <v>1687</v>
      </c>
      <c r="E949" t="s">
        <v>1678</v>
      </c>
    </row>
    <row r="950" spans="1:5" x14ac:dyDescent="0.4">
      <c r="A950" t="s">
        <v>907</v>
      </c>
      <c r="B950">
        <v>8</v>
      </c>
      <c r="C950" t="s">
        <v>1676</v>
      </c>
      <c r="D950" t="s">
        <v>1709</v>
      </c>
      <c r="E950" t="s">
        <v>1678</v>
      </c>
    </row>
    <row r="951" spans="1:5" x14ac:dyDescent="0.4">
      <c r="A951" t="s">
        <v>907</v>
      </c>
      <c r="B951">
        <v>11</v>
      </c>
      <c r="C951" t="s">
        <v>1676</v>
      </c>
      <c r="D951" t="s">
        <v>1785</v>
      </c>
      <c r="E951" t="s">
        <v>1678</v>
      </c>
    </row>
    <row r="952" spans="1:5" x14ac:dyDescent="0.4">
      <c r="A952" t="s">
        <v>2302</v>
      </c>
    </row>
    <row r="953" spans="1:5" x14ac:dyDescent="0.4">
      <c r="A953" t="s">
        <v>909</v>
      </c>
      <c r="B953">
        <v>3</v>
      </c>
      <c r="C953" t="s">
        <v>1676</v>
      </c>
      <c r="D953" t="s">
        <v>1683</v>
      </c>
      <c r="E953" t="s">
        <v>1678</v>
      </c>
    </row>
    <row r="954" spans="1:5" x14ac:dyDescent="0.4">
      <c r="A954" t="s">
        <v>909</v>
      </c>
      <c r="B954">
        <v>9</v>
      </c>
      <c r="C954" t="s">
        <v>1676</v>
      </c>
      <c r="D954" t="s">
        <v>1693</v>
      </c>
      <c r="E954" t="s">
        <v>1678</v>
      </c>
    </row>
    <row r="955" spans="1:5" x14ac:dyDescent="0.4">
      <c r="A955" t="s">
        <v>909</v>
      </c>
      <c r="B955">
        <v>12</v>
      </c>
      <c r="C955" t="s">
        <v>1676</v>
      </c>
      <c r="D955" t="s">
        <v>1705</v>
      </c>
      <c r="E955" t="s">
        <v>1678</v>
      </c>
    </row>
    <row r="956" spans="1:5" x14ac:dyDescent="0.4">
      <c r="A956" t="s">
        <v>909</v>
      </c>
      <c r="B956">
        <v>20</v>
      </c>
      <c r="C956" t="s">
        <v>1676</v>
      </c>
      <c r="D956" t="s">
        <v>1687</v>
      </c>
      <c r="E956" t="s">
        <v>1678</v>
      </c>
    </row>
    <row r="957" spans="1:5" x14ac:dyDescent="0.4">
      <c r="A957" t="s">
        <v>2303</v>
      </c>
    </row>
    <row r="958" spans="1:5" x14ac:dyDescent="0.4">
      <c r="A958" t="s">
        <v>911</v>
      </c>
      <c r="B958">
        <v>8</v>
      </c>
      <c r="C958" t="s">
        <v>1676</v>
      </c>
      <c r="D958" t="s">
        <v>1922</v>
      </c>
      <c r="E958" t="s">
        <v>1678</v>
      </c>
    </row>
    <row r="959" spans="1:5" x14ac:dyDescent="0.4">
      <c r="A959" t="s">
        <v>2304</v>
      </c>
    </row>
    <row r="960" spans="1:5" x14ac:dyDescent="0.4">
      <c r="A960" t="s">
        <v>2305</v>
      </c>
    </row>
    <row r="961" spans="1:5" x14ac:dyDescent="0.4">
      <c r="A961" t="s">
        <v>915</v>
      </c>
      <c r="B961">
        <v>14</v>
      </c>
      <c r="C961" t="s">
        <v>1676</v>
      </c>
      <c r="D961" t="s">
        <v>1687</v>
      </c>
      <c r="E961" t="s">
        <v>1678</v>
      </c>
    </row>
    <row r="962" spans="1:5" x14ac:dyDescent="0.4">
      <c r="A962" t="s">
        <v>915</v>
      </c>
      <c r="B962">
        <v>16</v>
      </c>
      <c r="C962" t="s">
        <v>1676</v>
      </c>
      <c r="D962" t="s">
        <v>1705</v>
      </c>
      <c r="E962" t="s">
        <v>1678</v>
      </c>
    </row>
    <row r="963" spans="1:5" x14ac:dyDescent="0.4">
      <c r="A963" t="s">
        <v>915</v>
      </c>
      <c r="B963">
        <v>19</v>
      </c>
      <c r="C963" t="s">
        <v>1676</v>
      </c>
      <c r="D963" t="s">
        <v>1962</v>
      </c>
      <c r="E963" t="s">
        <v>1678</v>
      </c>
    </row>
    <row r="964" spans="1:5" x14ac:dyDescent="0.4">
      <c r="A964" t="s">
        <v>915</v>
      </c>
      <c r="B964">
        <v>21</v>
      </c>
      <c r="C964" t="s">
        <v>1676</v>
      </c>
      <c r="D964" t="s">
        <v>1831</v>
      </c>
      <c r="E964" t="s">
        <v>1678</v>
      </c>
    </row>
    <row r="965" spans="1:5" x14ac:dyDescent="0.4">
      <c r="A965" t="s">
        <v>2306</v>
      </c>
    </row>
    <row r="966" spans="1:5" x14ac:dyDescent="0.4">
      <c r="A966" t="s">
        <v>917</v>
      </c>
      <c r="B966">
        <v>10</v>
      </c>
      <c r="C966" t="s">
        <v>1676</v>
      </c>
      <c r="D966" t="s">
        <v>2081</v>
      </c>
      <c r="E966" t="s">
        <v>1678</v>
      </c>
    </row>
    <row r="967" spans="1:5" x14ac:dyDescent="0.4">
      <c r="A967" t="s">
        <v>917</v>
      </c>
      <c r="B967">
        <v>20</v>
      </c>
      <c r="C967" t="s">
        <v>1676</v>
      </c>
      <c r="D967" t="s">
        <v>1702</v>
      </c>
      <c r="E967" t="s">
        <v>1678</v>
      </c>
    </row>
    <row r="968" spans="1:5" x14ac:dyDescent="0.4">
      <c r="A968" t="s">
        <v>2307</v>
      </c>
    </row>
    <row r="969" spans="1:5" x14ac:dyDescent="0.4">
      <c r="A969" t="s">
        <v>2308</v>
      </c>
    </row>
    <row r="970" spans="1:5" x14ac:dyDescent="0.4">
      <c r="A970" t="s">
        <v>921</v>
      </c>
      <c r="B970">
        <v>1</v>
      </c>
      <c r="C970" t="s">
        <v>1676</v>
      </c>
      <c r="D970" t="s">
        <v>1687</v>
      </c>
      <c r="E970" t="s">
        <v>1678</v>
      </c>
    </row>
    <row r="971" spans="1:5" x14ac:dyDescent="0.4">
      <c r="A971" t="s">
        <v>2309</v>
      </c>
    </row>
    <row r="972" spans="1:5" x14ac:dyDescent="0.4">
      <c r="A972" t="s">
        <v>2310</v>
      </c>
    </row>
    <row r="973" spans="1:5" x14ac:dyDescent="0.4">
      <c r="A973" t="s">
        <v>2311</v>
      </c>
    </row>
    <row r="974" spans="1:5" x14ac:dyDescent="0.4">
      <c r="A974" t="s">
        <v>927</v>
      </c>
      <c r="B974">
        <v>9</v>
      </c>
      <c r="C974" t="s">
        <v>1676</v>
      </c>
      <c r="D974" t="s">
        <v>2224</v>
      </c>
      <c r="E974" t="s">
        <v>1678</v>
      </c>
    </row>
    <row r="975" spans="1:5" x14ac:dyDescent="0.4">
      <c r="A975" t="s">
        <v>927</v>
      </c>
      <c r="B975">
        <v>11</v>
      </c>
      <c r="C975" t="s">
        <v>1676</v>
      </c>
      <c r="D975" t="s">
        <v>1683</v>
      </c>
      <c r="E975" t="s">
        <v>1678</v>
      </c>
    </row>
    <row r="976" spans="1:5" x14ac:dyDescent="0.4">
      <c r="A976" t="s">
        <v>927</v>
      </c>
      <c r="B976">
        <v>12</v>
      </c>
      <c r="C976" t="s">
        <v>1676</v>
      </c>
      <c r="D976" t="s">
        <v>1737</v>
      </c>
      <c r="E976" t="s">
        <v>1678</v>
      </c>
    </row>
    <row r="977" spans="1:5" x14ac:dyDescent="0.4">
      <c r="A977" t="s">
        <v>2312</v>
      </c>
    </row>
    <row r="978" spans="1:5" x14ac:dyDescent="0.4">
      <c r="A978" t="s">
        <v>2313</v>
      </c>
    </row>
    <row r="979" spans="1:5" x14ac:dyDescent="0.4">
      <c r="A979" t="s">
        <v>931</v>
      </c>
      <c r="B979">
        <v>2</v>
      </c>
      <c r="C979" t="s">
        <v>1676</v>
      </c>
      <c r="D979" t="s">
        <v>1698</v>
      </c>
      <c r="E979" t="s">
        <v>1678</v>
      </c>
    </row>
    <row r="980" spans="1:5" x14ac:dyDescent="0.4">
      <c r="A980" t="s">
        <v>931</v>
      </c>
      <c r="B980">
        <v>7</v>
      </c>
      <c r="C980" t="s">
        <v>1676</v>
      </c>
      <c r="D980" t="s">
        <v>2159</v>
      </c>
      <c r="E980" t="s">
        <v>1678</v>
      </c>
    </row>
    <row r="981" spans="1:5" x14ac:dyDescent="0.4">
      <c r="A981" t="s">
        <v>2314</v>
      </c>
    </row>
    <row r="982" spans="1:5" x14ac:dyDescent="0.4">
      <c r="A982" t="s">
        <v>933</v>
      </c>
      <c r="B982">
        <v>1</v>
      </c>
      <c r="C982" t="s">
        <v>1676</v>
      </c>
      <c r="D982" t="s">
        <v>1689</v>
      </c>
      <c r="E982" t="s">
        <v>1678</v>
      </c>
    </row>
    <row r="983" spans="1:5" x14ac:dyDescent="0.4">
      <c r="A983" t="s">
        <v>933</v>
      </c>
      <c r="B983">
        <v>11</v>
      </c>
      <c r="C983" t="s">
        <v>1676</v>
      </c>
      <c r="D983" t="s">
        <v>2224</v>
      </c>
      <c r="E983" t="s">
        <v>1678</v>
      </c>
    </row>
    <row r="984" spans="1:5" x14ac:dyDescent="0.4">
      <c r="A984" t="s">
        <v>2315</v>
      </c>
    </row>
    <row r="985" spans="1:5" x14ac:dyDescent="0.4">
      <c r="A985" t="s">
        <v>935</v>
      </c>
      <c r="B985">
        <v>2</v>
      </c>
      <c r="C985" t="s">
        <v>1676</v>
      </c>
      <c r="D985" t="s">
        <v>1704</v>
      </c>
      <c r="E985" t="s">
        <v>1678</v>
      </c>
    </row>
    <row r="986" spans="1:5" x14ac:dyDescent="0.4">
      <c r="A986" t="s">
        <v>2316</v>
      </c>
    </row>
    <row r="987" spans="1:5" x14ac:dyDescent="0.4">
      <c r="A987" t="s">
        <v>2317</v>
      </c>
    </row>
    <row r="988" spans="1:5" x14ac:dyDescent="0.4">
      <c r="A988" t="s">
        <v>939</v>
      </c>
      <c r="B988">
        <v>10</v>
      </c>
      <c r="C988" t="s">
        <v>1676</v>
      </c>
      <c r="D988" t="s">
        <v>2102</v>
      </c>
      <c r="E988" t="s">
        <v>1678</v>
      </c>
    </row>
    <row r="989" spans="1:5" x14ac:dyDescent="0.4">
      <c r="A989" t="s">
        <v>2318</v>
      </c>
    </row>
    <row r="990" spans="1:5" x14ac:dyDescent="0.4">
      <c r="A990" t="s">
        <v>941</v>
      </c>
      <c r="B990">
        <v>3</v>
      </c>
      <c r="C990" t="s">
        <v>1676</v>
      </c>
      <c r="D990" t="s">
        <v>1704</v>
      </c>
      <c r="E990" t="s">
        <v>1678</v>
      </c>
    </row>
    <row r="991" spans="1:5" x14ac:dyDescent="0.4">
      <c r="A991" t="s">
        <v>941</v>
      </c>
      <c r="B991">
        <v>16</v>
      </c>
      <c r="C991" t="s">
        <v>1676</v>
      </c>
      <c r="D991" t="s">
        <v>1740</v>
      </c>
      <c r="E991" t="s">
        <v>1678</v>
      </c>
    </row>
    <row r="992" spans="1:5" x14ac:dyDescent="0.4">
      <c r="A992" t="s">
        <v>2319</v>
      </c>
    </row>
    <row r="993" spans="1:5" x14ac:dyDescent="0.4">
      <c r="A993" t="s">
        <v>943</v>
      </c>
      <c r="B993">
        <v>14</v>
      </c>
      <c r="C993" t="s">
        <v>1676</v>
      </c>
      <c r="D993" t="s">
        <v>1785</v>
      </c>
      <c r="E993" t="s">
        <v>1678</v>
      </c>
    </row>
    <row r="994" spans="1:5" x14ac:dyDescent="0.4">
      <c r="A994" t="s">
        <v>943</v>
      </c>
      <c r="B994">
        <v>20</v>
      </c>
      <c r="C994" t="s">
        <v>1676</v>
      </c>
      <c r="D994" t="s">
        <v>1719</v>
      </c>
      <c r="E994" t="s">
        <v>1678</v>
      </c>
    </row>
    <row r="995" spans="1:5" x14ac:dyDescent="0.4">
      <c r="A995" t="s">
        <v>2320</v>
      </c>
    </row>
    <row r="996" spans="1:5" x14ac:dyDescent="0.4">
      <c r="A996" t="s">
        <v>2321</v>
      </c>
    </row>
    <row r="997" spans="1:5" x14ac:dyDescent="0.4">
      <c r="A997" t="s">
        <v>947</v>
      </c>
      <c r="B997">
        <v>10</v>
      </c>
      <c r="C997" t="s">
        <v>1676</v>
      </c>
      <c r="D997" t="s">
        <v>2079</v>
      </c>
      <c r="E997" t="s">
        <v>1678</v>
      </c>
    </row>
    <row r="998" spans="1:5" x14ac:dyDescent="0.4">
      <c r="A998" t="s">
        <v>947</v>
      </c>
      <c r="B998">
        <v>11</v>
      </c>
      <c r="C998" t="s">
        <v>1676</v>
      </c>
      <c r="D998" t="s">
        <v>1740</v>
      </c>
      <c r="E998" t="s">
        <v>1678</v>
      </c>
    </row>
    <row r="999" spans="1:5" x14ac:dyDescent="0.4">
      <c r="A999" t="s">
        <v>2322</v>
      </c>
    </row>
    <row r="1000" spans="1:5" x14ac:dyDescent="0.4">
      <c r="A1000" t="s">
        <v>949</v>
      </c>
      <c r="B1000">
        <v>7</v>
      </c>
      <c r="C1000" t="s">
        <v>1676</v>
      </c>
      <c r="D1000" t="s">
        <v>1738</v>
      </c>
      <c r="E1000" t="s">
        <v>1678</v>
      </c>
    </row>
    <row r="1001" spans="1:5" x14ac:dyDescent="0.4">
      <c r="A1001" t="s">
        <v>949</v>
      </c>
      <c r="B1001">
        <v>10</v>
      </c>
      <c r="C1001" t="s">
        <v>1676</v>
      </c>
      <c r="D1001" t="s">
        <v>1839</v>
      </c>
      <c r="E1001" t="s">
        <v>1678</v>
      </c>
    </row>
    <row r="1002" spans="1:5" x14ac:dyDescent="0.4">
      <c r="A1002" t="s">
        <v>2323</v>
      </c>
    </row>
    <row r="1003" spans="1:5" x14ac:dyDescent="0.4">
      <c r="A1003" t="s">
        <v>2324</v>
      </c>
    </row>
    <row r="1004" spans="1:5" x14ac:dyDescent="0.4">
      <c r="A1004" t="s">
        <v>953</v>
      </c>
      <c r="B1004">
        <v>21</v>
      </c>
      <c r="C1004" t="s">
        <v>1676</v>
      </c>
      <c r="D1004" t="s">
        <v>1700</v>
      </c>
      <c r="E1004" t="s">
        <v>1678</v>
      </c>
    </row>
    <row r="1005" spans="1:5" x14ac:dyDescent="0.4">
      <c r="A1005" t="s">
        <v>2325</v>
      </c>
    </row>
    <row r="1006" spans="1:5" x14ac:dyDescent="0.4">
      <c r="A1006" t="s">
        <v>2326</v>
      </c>
    </row>
    <row r="1007" spans="1:5" x14ac:dyDescent="0.4">
      <c r="A1007" t="s">
        <v>2327</v>
      </c>
    </row>
    <row r="1008" spans="1:5" x14ac:dyDescent="0.4">
      <c r="A1008" t="s">
        <v>959</v>
      </c>
      <c r="B1008">
        <v>18</v>
      </c>
      <c r="C1008" t="s">
        <v>1676</v>
      </c>
      <c r="D1008" t="s">
        <v>1718</v>
      </c>
      <c r="E1008" t="s">
        <v>1678</v>
      </c>
    </row>
    <row r="1009" spans="1:5" x14ac:dyDescent="0.4">
      <c r="A1009" t="s">
        <v>959</v>
      </c>
      <c r="B1009">
        <v>19</v>
      </c>
      <c r="C1009" t="s">
        <v>1676</v>
      </c>
      <c r="D1009" t="s">
        <v>2110</v>
      </c>
      <c r="E1009" t="s">
        <v>1678</v>
      </c>
    </row>
    <row r="1010" spans="1:5" x14ac:dyDescent="0.4">
      <c r="A1010" t="s">
        <v>2328</v>
      </c>
    </row>
    <row r="1011" spans="1:5" x14ac:dyDescent="0.4">
      <c r="A1011" t="s">
        <v>961</v>
      </c>
      <c r="B1011">
        <v>19</v>
      </c>
      <c r="C1011" t="s">
        <v>1676</v>
      </c>
      <c r="D1011" t="s">
        <v>2329</v>
      </c>
      <c r="E1011" t="s">
        <v>1678</v>
      </c>
    </row>
    <row r="1012" spans="1:5" x14ac:dyDescent="0.4">
      <c r="A1012" t="s">
        <v>2330</v>
      </c>
    </row>
    <row r="1013" spans="1:5" x14ac:dyDescent="0.4">
      <c r="A1013" t="s">
        <v>2331</v>
      </c>
    </row>
    <row r="1014" spans="1:5" x14ac:dyDescent="0.4">
      <c r="A1014" t="s">
        <v>2332</v>
      </c>
    </row>
    <row r="1015" spans="1:5" x14ac:dyDescent="0.4">
      <c r="A1015" t="s">
        <v>967</v>
      </c>
      <c r="B1015">
        <v>4</v>
      </c>
      <c r="C1015" t="s">
        <v>1676</v>
      </c>
      <c r="D1015" t="s">
        <v>2333</v>
      </c>
      <c r="E1015" t="s">
        <v>1678</v>
      </c>
    </row>
    <row r="1016" spans="1:5" x14ac:dyDescent="0.4">
      <c r="A1016" t="s">
        <v>967</v>
      </c>
      <c r="B1016">
        <v>11</v>
      </c>
      <c r="C1016" t="s">
        <v>1676</v>
      </c>
      <c r="D1016" t="s">
        <v>1905</v>
      </c>
      <c r="E1016" t="s">
        <v>1678</v>
      </c>
    </row>
    <row r="1017" spans="1:5" x14ac:dyDescent="0.4">
      <c r="A1017" t="s">
        <v>967</v>
      </c>
      <c r="B1017">
        <v>19</v>
      </c>
      <c r="C1017" t="s">
        <v>1676</v>
      </c>
      <c r="D1017" t="s">
        <v>2100</v>
      </c>
      <c r="E1017" t="s">
        <v>1678</v>
      </c>
    </row>
    <row r="1018" spans="1:5" x14ac:dyDescent="0.4">
      <c r="A1018" t="s">
        <v>2334</v>
      </c>
    </row>
    <row r="1019" spans="1:5" x14ac:dyDescent="0.4">
      <c r="A1019" t="s">
        <v>969</v>
      </c>
      <c r="B1019">
        <v>3</v>
      </c>
      <c r="C1019" t="s">
        <v>1676</v>
      </c>
      <c r="D1019" t="s">
        <v>2112</v>
      </c>
      <c r="E1019" t="s">
        <v>1678</v>
      </c>
    </row>
    <row r="1020" spans="1:5" x14ac:dyDescent="0.4">
      <c r="A1020" t="s">
        <v>969</v>
      </c>
      <c r="B1020">
        <v>9</v>
      </c>
      <c r="C1020" t="s">
        <v>1676</v>
      </c>
      <c r="D1020" t="s">
        <v>1702</v>
      </c>
      <c r="E1020" t="s">
        <v>1678</v>
      </c>
    </row>
    <row r="1021" spans="1:5" x14ac:dyDescent="0.4">
      <c r="A1021" t="s">
        <v>969</v>
      </c>
      <c r="B1021">
        <v>10</v>
      </c>
      <c r="C1021" t="s">
        <v>1676</v>
      </c>
      <c r="D1021" t="s">
        <v>1689</v>
      </c>
      <c r="E1021" t="s">
        <v>1678</v>
      </c>
    </row>
    <row r="1022" spans="1:5" x14ac:dyDescent="0.4">
      <c r="A1022" t="s">
        <v>969</v>
      </c>
      <c r="B1022">
        <v>16</v>
      </c>
      <c r="C1022" t="s">
        <v>1676</v>
      </c>
      <c r="D1022" t="s">
        <v>2081</v>
      </c>
      <c r="E1022" t="s">
        <v>1678</v>
      </c>
    </row>
    <row r="1023" spans="1:5" x14ac:dyDescent="0.4">
      <c r="A1023" t="s">
        <v>2335</v>
      </c>
    </row>
    <row r="1024" spans="1:5" x14ac:dyDescent="0.4">
      <c r="A1024" t="s">
        <v>971</v>
      </c>
      <c r="B1024">
        <v>3</v>
      </c>
      <c r="C1024" t="s">
        <v>1676</v>
      </c>
      <c r="D1024" t="s">
        <v>1707</v>
      </c>
      <c r="E1024" t="s">
        <v>1678</v>
      </c>
    </row>
    <row r="1025" spans="1:5" x14ac:dyDescent="0.4">
      <c r="A1025" t="s">
        <v>971</v>
      </c>
      <c r="B1025">
        <v>9</v>
      </c>
      <c r="C1025" t="s">
        <v>1676</v>
      </c>
      <c r="D1025" t="s">
        <v>1749</v>
      </c>
      <c r="E1025" t="s">
        <v>1678</v>
      </c>
    </row>
    <row r="1026" spans="1:5" x14ac:dyDescent="0.4">
      <c r="A1026" t="s">
        <v>971</v>
      </c>
      <c r="B1026">
        <v>14</v>
      </c>
      <c r="C1026" t="s">
        <v>1676</v>
      </c>
      <c r="D1026" t="s">
        <v>2081</v>
      </c>
      <c r="E1026" t="s">
        <v>1678</v>
      </c>
    </row>
    <row r="1027" spans="1:5" x14ac:dyDescent="0.4">
      <c r="A1027" t="s">
        <v>2336</v>
      </c>
    </row>
    <row r="1028" spans="1:5" x14ac:dyDescent="0.4">
      <c r="A1028" t="s">
        <v>973</v>
      </c>
      <c r="B1028">
        <v>3</v>
      </c>
      <c r="C1028" t="s">
        <v>1676</v>
      </c>
      <c r="D1028" t="s">
        <v>2081</v>
      </c>
      <c r="E1028" t="s">
        <v>1678</v>
      </c>
    </row>
    <row r="1029" spans="1:5" x14ac:dyDescent="0.4">
      <c r="A1029" t="s">
        <v>973</v>
      </c>
      <c r="B1029">
        <v>8</v>
      </c>
      <c r="C1029" t="s">
        <v>1676</v>
      </c>
      <c r="D1029" t="s">
        <v>1690</v>
      </c>
      <c r="E1029" t="s">
        <v>1678</v>
      </c>
    </row>
    <row r="1030" spans="1:5" x14ac:dyDescent="0.4">
      <c r="A1030" t="s">
        <v>973</v>
      </c>
      <c r="B1030">
        <v>11</v>
      </c>
      <c r="C1030" t="s">
        <v>1676</v>
      </c>
      <c r="D1030" t="s">
        <v>1740</v>
      </c>
      <c r="E1030" t="s">
        <v>1678</v>
      </c>
    </row>
    <row r="1031" spans="1:5" x14ac:dyDescent="0.4">
      <c r="A1031" t="s">
        <v>2337</v>
      </c>
    </row>
    <row r="1032" spans="1:5" x14ac:dyDescent="0.4">
      <c r="A1032" t="s">
        <v>975</v>
      </c>
      <c r="B1032">
        <v>11</v>
      </c>
      <c r="C1032" t="s">
        <v>1676</v>
      </c>
      <c r="D1032" t="s">
        <v>1828</v>
      </c>
      <c r="E1032" t="s">
        <v>1678</v>
      </c>
    </row>
    <row r="1033" spans="1:5" x14ac:dyDescent="0.4">
      <c r="A1033" t="s">
        <v>2338</v>
      </c>
    </row>
    <row r="1034" spans="1:5" x14ac:dyDescent="0.4">
      <c r="A1034" t="s">
        <v>977</v>
      </c>
      <c r="B1034">
        <v>4</v>
      </c>
      <c r="C1034" t="s">
        <v>1676</v>
      </c>
      <c r="D1034" t="s">
        <v>1782</v>
      </c>
      <c r="E1034" t="s">
        <v>1678</v>
      </c>
    </row>
    <row r="1035" spans="1:5" x14ac:dyDescent="0.4">
      <c r="A1035" t="s">
        <v>2339</v>
      </c>
    </row>
    <row r="1036" spans="1:5" x14ac:dyDescent="0.4">
      <c r="A1036" t="s">
        <v>979</v>
      </c>
      <c r="B1036">
        <v>6</v>
      </c>
      <c r="C1036" t="s">
        <v>1676</v>
      </c>
      <c r="D1036" t="s">
        <v>2159</v>
      </c>
      <c r="E1036" t="s">
        <v>1678</v>
      </c>
    </row>
    <row r="1037" spans="1:5" x14ac:dyDescent="0.4">
      <c r="A1037" t="s">
        <v>979</v>
      </c>
      <c r="B1037">
        <v>7</v>
      </c>
      <c r="C1037" t="s">
        <v>1676</v>
      </c>
      <c r="D1037" t="s">
        <v>1751</v>
      </c>
      <c r="E1037" t="s">
        <v>1678</v>
      </c>
    </row>
    <row r="1038" spans="1:5" x14ac:dyDescent="0.4">
      <c r="A1038" t="s">
        <v>2340</v>
      </c>
    </row>
    <row r="1039" spans="1:5" x14ac:dyDescent="0.4">
      <c r="A1039" t="s">
        <v>981</v>
      </c>
      <c r="B1039">
        <v>8</v>
      </c>
      <c r="C1039" t="s">
        <v>1676</v>
      </c>
      <c r="D1039" t="s">
        <v>1710</v>
      </c>
      <c r="E1039" t="s">
        <v>1678</v>
      </c>
    </row>
    <row r="1040" spans="1:5" x14ac:dyDescent="0.4">
      <c r="A1040" t="s">
        <v>981</v>
      </c>
      <c r="B1040">
        <v>9</v>
      </c>
      <c r="C1040" t="s">
        <v>1676</v>
      </c>
      <c r="D1040" t="s">
        <v>1677</v>
      </c>
      <c r="E1040" t="s">
        <v>1678</v>
      </c>
    </row>
    <row r="1041" spans="1:5" x14ac:dyDescent="0.4">
      <c r="A1041" t="s">
        <v>2341</v>
      </c>
    </row>
    <row r="1042" spans="1:5" x14ac:dyDescent="0.4">
      <c r="A1042" t="s">
        <v>983</v>
      </c>
      <c r="B1042">
        <v>8</v>
      </c>
      <c r="C1042" t="s">
        <v>1676</v>
      </c>
      <c r="D1042" t="s">
        <v>1691</v>
      </c>
      <c r="E1042" t="s">
        <v>1678</v>
      </c>
    </row>
    <row r="1043" spans="1:5" x14ac:dyDescent="0.4">
      <c r="A1043" t="s">
        <v>2342</v>
      </c>
    </row>
    <row r="1044" spans="1:5" x14ac:dyDescent="0.4">
      <c r="A1044" t="s">
        <v>985</v>
      </c>
      <c r="B1044">
        <v>11</v>
      </c>
      <c r="C1044" t="s">
        <v>1676</v>
      </c>
      <c r="D1044" t="s">
        <v>1690</v>
      </c>
      <c r="E1044" t="s">
        <v>1678</v>
      </c>
    </row>
    <row r="1045" spans="1:5" x14ac:dyDescent="0.4">
      <c r="A1045" t="s">
        <v>2343</v>
      </c>
    </row>
    <row r="1046" spans="1:5" x14ac:dyDescent="0.4">
      <c r="A1046" t="s">
        <v>2344</v>
      </c>
    </row>
    <row r="1047" spans="1:5" x14ac:dyDescent="0.4">
      <c r="A1047" t="s">
        <v>989</v>
      </c>
      <c r="B1047">
        <v>2</v>
      </c>
      <c r="C1047" t="s">
        <v>1676</v>
      </c>
      <c r="D1047" t="s">
        <v>1681</v>
      </c>
      <c r="E1047" t="s">
        <v>1678</v>
      </c>
    </row>
    <row r="1048" spans="1:5" x14ac:dyDescent="0.4">
      <c r="A1048" t="s">
        <v>989</v>
      </c>
      <c r="B1048">
        <v>10</v>
      </c>
      <c r="C1048" t="s">
        <v>1676</v>
      </c>
      <c r="D1048" t="s">
        <v>1926</v>
      </c>
      <c r="E1048" t="s">
        <v>1678</v>
      </c>
    </row>
    <row r="1049" spans="1:5" x14ac:dyDescent="0.4">
      <c r="A1049" t="s">
        <v>989</v>
      </c>
      <c r="B1049">
        <v>17</v>
      </c>
      <c r="C1049" t="s">
        <v>1676</v>
      </c>
      <c r="D1049" t="s">
        <v>1687</v>
      </c>
      <c r="E1049" t="s">
        <v>1678</v>
      </c>
    </row>
    <row r="1050" spans="1:5" x14ac:dyDescent="0.4">
      <c r="A1050" t="s">
        <v>2345</v>
      </c>
    </row>
    <row r="1051" spans="1:5" x14ac:dyDescent="0.4">
      <c r="A1051" t="s">
        <v>991</v>
      </c>
      <c r="B1051">
        <v>7</v>
      </c>
      <c r="C1051" t="s">
        <v>1676</v>
      </c>
      <c r="D1051" t="s">
        <v>2333</v>
      </c>
      <c r="E1051" t="s">
        <v>1678</v>
      </c>
    </row>
    <row r="1052" spans="1:5" x14ac:dyDescent="0.4">
      <c r="A1052" t="s">
        <v>2346</v>
      </c>
    </row>
    <row r="1053" spans="1:5" x14ac:dyDescent="0.4">
      <c r="A1053" t="s">
        <v>993</v>
      </c>
      <c r="B1053">
        <v>5</v>
      </c>
      <c r="C1053" t="s">
        <v>1676</v>
      </c>
      <c r="D1053" t="s">
        <v>1693</v>
      </c>
      <c r="E1053" t="s">
        <v>1678</v>
      </c>
    </row>
    <row r="1054" spans="1:5" x14ac:dyDescent="0.4">
      <c r="A1054" t="s">
        <v>2347</v>
      </c>
    </row>
    <row r="1055" spans="1:5" x14ac:dyDescent="0.4">
      <c r="A1055" t="s">
        <v>2348</v>
      </c>
    </row>
    <row r="1056" spans="1:5" x14ac:dyDescent="0.4">
      <c r="A1056" t="s">
        <v>997</v>
      </c>
      <c r="B1056">
        <v>13</v>
      </c>
      <c r="C1056" t="s">
        <v>1676</v>
      </c>
      <c r="D1056" t="s">
        <v>1726</v>
      </c>
      <c r="E1056" t="s">
        <v>1678</v>
      </c>
    </row>
    <row r="1057" spans="1:5" x14ac:dyDescent="0.4">
      <c r="A1057" t="s">
        <v>997</v>
      </c>
      <c r="B1057">
        <v>18</v>
      </c>
      <c r="C1057" t="s">
        <v>1676</v>
      </c>
      <c r="D1057" t="s">
        <v>1742</v>
      </c>
      <c r="E1057" t="s">
        <v>1678</v>
      </c>
    </row>
    <row r="1058" spans="1:5" x14ac:dyDescent="0.4">
      <c r="A1058" t="s">
        <v>997</v>
      </c>
      <c r="B1058">
        <v>20</v>
      </c>
      <c r="C1058" t="s">
        <v>1676</v>
      </c>
      <c r="D1058" t="s">
        <v>2349</v>
      </c>
      <c r="E1058" t="s">
        <v>1678</v>
      </c>
    </row>
    <row r="1059" spans="1:5" x14ac:dyDescent="0.4">
      <c r="A1059" t="s">
        <v>2350</v>
      </c>
    </row>
    <row r="1060" spans="1:5" x14ac:dyDescent="0.4">
      <c r="A1060" t="s">
        <v>2351</v>
      </c>
    </row>
    <row r="1061" spans="1:5" x14ac:dyDescent="0.4">
      <c r="A1061" t="s">
        <v>2352</v>
      </c>
    </row>
    <row r="1062" spans="1:5" x14ac:dyDescent="0.4">
      <c r="A1062" t="s">
        <v>2353</v>
      </c>
    </row>
    <row r="1063" spans="1:5" x14ac:dyDescent="0.4">
      <c r="A1063" t="s">
        <v>1005</v>
      </c>
      <c r="B1063">
        <v>15</v>
      </c>
      <c r="C1063" t="s">
        <v>1676</v>
      </c>
      <c r="D1063" t="s">
        <v>1744</v>
      </c>
      <c r="E1063" t="s">
        <v>1678</v>
      </c>
    </row>
    <row r="1064" spans="1:5" x14ac:dyDescent="0.4">
      <c r="A1064" t="s">
        <v>2354</v>
      </c>
    </row>
    <row r="1065" spans="1:5" x14ac:dyDescent="0.4">
      <c r="A1065" t="s">
        <v>1007</v>
      </c>
      <c r="B1065">
        <v>4</v>
      </c>
      <c r="C1065" t="s">
        <v>1676</v>
      </c>
      <c r="D1065" t="s">
        <v>1864</v>
      </c>
      <c r="E1065" t="s">
        <v>1678</v>
      </c>
    </row>
    <row r="1066" spans="1:5" x14ac:dyDescent="0.4">
      <c r="A1066" t="s">
        <v>1007</v>
      </c>
      <c r="B1066">
        <v>9</v>
      </c>
      <c r="C1066" t="s">
        <v>1676</v>
      </c>
      <c r="D1066" t="s">
        <v>1751</v>
      </c>
      <c r="E1066" t="s">
        <v>1678</v>
      </c>
    </row>
    <row r="1067" spans="1:5" x14ac:dyDescent="0.4">
      <c r="A1067" t="s">
        <v>1007</v>
      </c>
      <c r="B1067">
        <v>11</v>
      </c>
      <c r="C1067" t="s">
        <v>1676</v>
      </c>
      <c r="D1067" t="s">
        <v>1694</v>
      </c>
      <c r="E1067" t="s">
        <v>1678</v>
      </c>
    </row>
    <row r="1068" spans="1:5" x14ac:dyDescent="0.4">
      <c r="A1068" t="s">
        <v>1007</v>
      </c>
      <c r="B1068">
        <v>19</v>
      </c>
      <c r="C1068" t="s">
        <v>1676</v>
      </c>
      <c r="D1068" t="s">
        <v>1868</v>
      </c>
      <c r="E1068" t="s">
        <v>1678</v>
      </c>
    </row>
    <row r="1069" spans="1:5" x14ac:dyDescent="0.4">
      <c r="A1069" t="s">
        <v>2355</v>
      </c>
    </row>
    <row r="1070" spans="1:5" x14ac:dyDescent="0.4">
      <c r="A1070" t="s">
        <v>1009</v>
      </c>
      <c r="B1070">
        <v>5</v>
      </c>
      <c r="C1070" t="s">
        <v>1676</v>
      </c>
      <c r="D1070" t="s">
        <v>1691</v>
      </c>
      <c r="E1070" t="s">
        <v>1678</v>
      </c>
    </row>
    <row r="1071" spans="1:5" x14ac:dyDescent="0.4">
      <c r="A1071" t="s">
        <v>1009</v>
      </c>
      <c r="B1071">
        <v>10</v>
      </c>
      <c r="C1071" t="s">
        <v>1676</v>
      </c>
      <c r="D1071" t="s">
        <v>1739</v>
      </c>
      <c r="E1071" t="s">
        <v>1678</v>
      </c>
    </row>
    <row r="1072" spans="1:5" x14ac:dyDescent="0.4">
      <c r="A1072" t="s">
        <v>2356</v>
      </c>
    </row>
    <row r="1073" spans="1:5" x14ac:dyDescent="0.4">
      <c r="A1073" t="s">
        <v>1011</v>
      </c>
      <c r="B1073">
        <v>17</v>
      </c>
      <c r="C1073" t="s">
        <v>1676</v>
      </c>
      <c r="D1073" t="s">
        <v>1719</v>
      </c>
      <c r="E1073" t="s">
        <v>1678</v>
      </c>
    </row>
    <row r="1074" spans="1:5" x14ac:dyDescent="0.4">
      <c r="A1074" t="s">
        <v>2357</v>
      </c>
    </row>
    <row r="1075" spans="1:5" x14ac:dyDescent="0.4">
      <c r="A1075" t="s">
        <v>1013</v>
      </c>
      <c r="B1075">
        <v>12</v>
      </c>
      <c r="C1075" t="s">
        <v>1676</v>
      </c>
      <c r="D1075" t="s">
        <v>1725</v>
      </c>
      <c r="E1075" t="s">
        <v>1678</v>
      </c>
    </row>
    <row r="1076" spans="1:5" x14ac:dyDescent="0.4">
      <c r="A1076" t="s">
        <v>2358</v>
      </c>
    </row>
    <row r="1077" spans="1:5" x14ac:dyDescent="0.4">
      <c r="A1077" t="s">
        <v>2359</v>
      </c>
    </row>
    <row r="1078" spans="1:5" x14ac:dyDescent="0.4">
      <c r="A1078" t="s">
        <v>1017</v>
      </c>
      <c r="B1078">
        <v>5</v>
      </c>
      <c r="C1078" t="s">
        <v>1676</v>
      </c>
      <c r="D1078" t="s">
        <v>1693</v>
      </c>
      <c r="E1078" t="s">
        <v>1678</v>
      </c>
    </row>
    <row r="1079" spans="1:5" x14ac:dyDescent="0.4">
      <c r="A1079" t="s">
        <v>1017</v>
      </c>
      <c r="B1079">
        <v>9</v>
      </c>
      <c r="C1079" t="s">
        <v>1676</v>
      </c>
      <c r="D1079" t="s">
        <v>1689</v>
      </c>
      <c r="E1079" t="s">
        <v>1678</v>
      </c>
    </row>
    <row r="1080" spans="1:5" x14ac:dyDescent="0.4">
      <c r="A1080" t="s">
        <v>1017</v>
      </c>
      <c r="B1080">
        <v>14</v>
      </c>
      <c r="C1080" t="s">
        <v>1676</v>
      </c>
      <c r="D1080" t="s">
        <v>1709</v>
      </c>
      <c r="E1080" t="s">
        <v>1678</v>
      </c>
    </row>
    <row r="1081" spans="1:5" x14ac:dyDescent="0.4">
      <c r="A1081" t="s">
        <v>1017</v>
      </c>
      <c r="B1081">
        <v>20</v>
      </c>
      <c r="C1081" t="s">
        <v>1676</v>
      </c>
      <c r="D1081" t="s">
        <v>1740</v>
      </c>
      <c r="E1081" t="s">
        <v>1678</v>
      </c>
    </row>
    <row r="1082" spans="1:5" x14ac:dyDescent="0.4">
      <c r="A1082" t="s">
        <v>2360</v>
      </c>
    </row>
    <row r="1083" spans="1:5" x14ac:dyDescent="0.4">
      <c r="A1083" t="s">
        <v>1019</v>
      </c>
      <c r="B1083">
        <v>16</v>
      </c>
      <c r="C1083" t="s">
        <v>1676</v>
      </c>
      <c r="D1083" t="s">
        <v>1945</v>
      </c>
      <c r="E1083" t="s">
        <v>1678</v>
      </c>
    </row>
    <row r="1084" spans="1:5" x14ac:dyDescent="0.4">
      <c r="A1084" t="s">
        <v>2361</v>
      </c>
    </row>
    <row r="1085" spans="1:5" x14ac:dyDescent="0.4">
      <c r="A1085" t="s">
        <v>1021</v>
      </c>
      <c r="B1085">
        <v>4</v>
      </c>
      <c r="C1085" t="s">
        <v>1676</v>
      </c>
      <c r="D1085" t="s">
        <v>1738</v>
      </c>
      <c r="E1085" t="s">
        <v>1678</v>
      </c>
    </row>
    <row r="1086" spans="1:5" x14ac:dyDescent="0.4">
      <c r="A1086" t="s">
        <v>1021</v>
      </c>
      <c r="B1086">
        <v>16</v>
      </c>
      <c r="C1086" t="s">
        <v>1676</v>
      </c>
      <c r="D1086" t="s">
        <v>1696</v>
      </c>
      <c r="E1086" t="s">
        <v>1678</v>
      </c>
    </row>
    <row r="1087" spans="1:5" x14ac:dyDescent="0.4">
      <c r="A1087" t="s">
        <v>2362</v>
      </c>
    </row>
    <row r="1088" spans="1:5" x14ac:dyDescent="0.4">
      <c r="A1088" t="s">
        <v>2363</v>
      </c>
    </row>
    <row r="1089" spans="1:5" x14ac:dyDescent="0.4">
      <c r="A1089" t="s">
        <v>2364</v>
      </c>
    </row>
    <row r="1090" spans="1:5" x14ac:dyDescent="0.4">
      <c r="A1090" t="s">
        <v>2365</v>
      </c>
    </row>
    <row r="1091" spans="1:5" x14ac:dyDescent="0.4">
      <c r="A1091" t="s">
        <v>1029</v>
      </c>
      <c r="B1091">
        <v>2</v>
      </c>
      <c r="C1091" t="s">
        <v>1676</v>
      </c>
      <c r="D1091" t="s">
        <v>1707</v>
      </c>
      <c r="E1091" t="s">
        <v>1678</v>
      </c>
    </row>
    <row r="1092" spans="1:5" x14ac:dyDescent="0.4">
      <c r="A1092" t="s">
        <v>2366</v>
      </c>
    </row>
    <row r="1093" spans="1:5" x14ac:dyDescent="0.4">
      <c r="A1093" t="s">
        <v>1031</v>
      </c>
      <c r="B1093">
        <v>21</v>
      </c>
      <c r="C1093" t="s">
        <v>1676</v>
      </c>
      <c r="D1093" t="s">
        <v>1696</v>
      </c>
      <c r="E1093" t="s">
        <v>1678</v>
      </c>
    </row>
    <row r="1094" spans="1:5" x14ac:dyDescent="0.4">
      <c r="A1094" t="s">
        <v>2367</v>
      </c>
    </row>
    <row r="1095" spans="1:5" x14ac:dyDescent="0.4">
      <c r="A1095" t="s">
        <v>1033</v>
      </c>
      <c r="B1095">
        <v>3</v>
      </c>
      <c r="C1095" t="s">
        <v>1676</v>
      </c>
      <c r="D1095" t="s">
        <v>1780</v>
      </c>
      <c r="E1095" t="s">
        <v>1678</v>
      </c>
    </row>
    <row r="1096" spans="1:5" x14ac:dyDescent="0.4">
      <c r="A1096" t="s">
        <v>2368</v>
      </c>
    </row>
    <row r="1097" spans="1:5" x14ac:dyDescent="0.4">
      <c r="A1097" t="s">
        <v>2369</v>
      </c>
    </row>
    <row r="1098" spans="1:5" x14ac:dyDescent="0.4">
      <c r="A1098" t="s">
        <v>1037</v>
      </c>
      <c r="B1098">
        <v>11</v>
      </c>
      <c r="C1098" t="s">
        <v>1676</v>
      </c>
      <c r="D1098" t="s">
        <v>1739</v>
      </c>
      <c r="E1098" t="s">
        <v>1678</v>
      </c>
    </row>
    <row r="1099" spans="1:5" x14ac:dyDescent="0.4">
      <c r="A1099" t="s">
        <v>2370</v>
      </c>
    </row>
    <row r="1100" spans="1:5" x14ac:dyDescent="0.4">
      <c r="A1100" t="s">
        <v>2371</v>
      </c>
    </row>
    <row r="1101" spans="1:5" x14ac:dyDescent="0.4">
      <c r="A1101" t="s">
        <v>2372</v>
      </c>
    </row>
    <row r="1102" spans="1:5" x14ac:dyDescent="0.4">
      <c r="A1102" t="s">
        <v>2373</v>
      </c>
    </row>
    <row r="1103" spans="1:5" x14ac:dyDescent="0.4">
      <c r="A1103" t="s">
        <v>1045</v>
      </c>
      <c r="B1103">
        <v>10</v>
      </c>
      <c r="C1103" t="s">
        <v>1676</v>
      </c>
      <c r="D1103" t="s">
        <v>2144</v>
      </c>
      <c r="E1103" t="s">
        <v>1678</v>
      </c>
    </row>
    <row r="1104" spans="1:5" x14ac:dyDescent="0.4">
      <c r="A1104" t="s">
        <v>1045</v>
      </c>
      <c r="B1104">
        <v>11</v>
      </c>
      <c r="C1104" t="s">
        <v>1676</v>
      </c>
      <c r="D1104" t="s">
        <v>2081</v>
      </c>
      <c r="E1104" t="s">
        <v>1678</v>
      </c>
    </row>
    <row r="1105" spans="1:5" x14ac:dyDescent="0.4">
      <c r="A1105" t="s">
        <v>2374</v>
      </c>
    </row>
    <row r="1106" spans="1:5" x14ac:dyDescent="0.4">
      <c r="A1106" t="s">
        <v>2375</v>
      </c>
    </row>
    <row r="1107" spans="1:5" x14ac:dyDescent="0.4">
      <c r="A1107" t="s">
        <v>1049</v>
      </c>
      <c r="B1107">
        <v>13</v>
      </c>
      <c r="C1107" t="s">
        <v>1676</v>
      </c>
      <c r="D1107" t="s">
        <v>1780</v>
      </c>
      <c r="E1107" t="s">
        <v>1678</v>
      </c>
    </row>
    <row r="1108" spans="1:5" x14ac:dyDescent="0.4">
      <c r="A1108" t="s">
        <v>1049</v>
      </c>
      <c r="B1108">
        <v>20</v>
      </c>
      <c r="C1108" t="s">
        <v>1676</v>
      </c>
      <c r="D1108" t="s">
        <v>1677</v>
      </c>
      <c r="E1108" t="s">
        <v>1678</v>
      </c>
    </row>
    <row r="1109" spans="1:5" x14ac:dyDescent="0.4">
      <c r="A1109" t="s">
        <v>2376</v>
      </c>
    </row>
    <row r="1110" spans="1:5" x14ac:dyDescent="0.4">
      <c r="A1110" t="s">
        <v>1051</v>
      </c>
      <c r="B1110">
        <v>7</v>
      </c>
      <c r="C1110" t="s">
        <v>1676</v>
      </c>
      <c r="D1110" t="s">
        <v>1734</v>
      </c>
      <c r="E1110" t="s">
        <v>1678</v>
      </c>
    </row>
    <row r="1111" spans="1:5" x14ac:dyDescent="0.4">
      <c r="A1111" t="s">
        <v>2377</v>
      </c>
    </row>
    <row r="1112" spans="1:5" x14ac:dyDescent="0.4">
      <c r="A1112" t="s">
        <v>2378</v>
      </c>
    </row>
    <row r="1113" spans="1:5" x14ac:dyDescent="0.4">
      <c r="A1113" t="s">
        <v>2379</v>
      </c>
    </row>
    <row r="1114" spans="1:5" x14ac:dyDescent="0.4">
      <c r="A1114" t="s">
        <v>1057</v>
      </c>
      <c r="B1114">
        <v>2</v>
      </c>
      <c r="C1114" t="s">
        <v>1676</v>
      </c>
      <c r="D1114" t="s">
        <v>2102</v>
      </c>
      <c r="E1114" t="s">
        <v>1678</v>
      </c>
    </row>
    <row r="1115" spans="1:5" x14ac:dyDescent="0.4">
      <c r="A1115" t="s">
        <v>1057</v>
      </c>
      <c r="B1115">
        <v>20</v>
      </c>
      <c r="C1115" t="s">
        <v>1676</v>
      </c>
      <c r="D1115" t="s">
        <v>2380</v>
      </c>
      <c r="E1115" t="s">
        <v>1678</v>
      </c>
    </row>
    <row r="1116" spans="1:5" x14ac:dyDescent="0.4">
      <c r="A1116" t="s">
        <v>2381</v>
      </c>
    </row>
    <row r="1117" spans="1:5" x14ac:dyDescent="0.4">
      <c r="A1117" t="s">
        <v>2382</v>
      </c>
    </row>
    <row r="1118" spans="1:5" x14ac:dyDescent="0.4">
      <c r="A1118" t="s">
        <v>2383</v>
      </c>
    </row>
    <row r="1119" spans="1:5" x14ac:dyDescent="0.4">
      <c r="A1119" t="s">
        <v>2384</v>
      </c>
    </row>
    <row r="1120" spans="1:5" x14ac:dyDescent="0.4">
      <c r="A1120" t="s">
        <v>2385</v>
      </c>
    </row>
    <row r="1121" spans="1:5" x14ac:dyDescent="0.4">
      <c r="A1121" t="s">
        <v>2386</v>
      </c>
    </row>
    <row r="1122" spans="1:5" x14ac:dyDescent="0.4">
      <c r="A1122" t="s">
        <v>1069</v>
      </c>
      <c r="B1122">
        <v>10</v>
      </c>
      <c r="C1122" t="s">
        <v>1676</v>
      </c>
      <c r="D1122" t="s">
        <v>1703</v>
      </c>
      <c r="E1122" t="s">
        <v>1678</v>
      </c>
    </row>
    <row r="1123" spans="1:5" x14ac:dyDescent="0.4">
      <c r="A1123" t="s">
        <v>1069</v>
      </c>
      <c r="B1123">
        <v>11</v>
      </c>
      <c r="C1123" t="s">
        <v>1676</v>
      </c>
      <c r="D1123" t="s">
        <v>2178</v>
      </c>
      <c r="E1123" t="s">
        <v>1678</v>
      </c>
    </row>
    <row r="1124" spans="1:5" x14ac:dyDescent="0.4">
      <c r="A1124" t="s">
        <v>1069</v>
      </c>
      <c r="B1124">
        <v>12</v>
      </c>
      <c r="C1124" t="s">
        <v>1676</v>
      </c>
      <c r="D1124" t="s">
        <v>1738</v>
      </c>
      <c r="E1124" t="s">
        <v>1678</v>
      </c>
    </row>
    <row r="1125" spans="1:5" x14ac:dyDescent="0.4">
      <c r="A1125" t="s">
        <v>1069</v>
      </c>
      <c r="B1125">
        <v>13</v>
      </c>
      <c r="C1125" t="s">
        <v>1676</v>
      </c>
      <c r="D1125" t="s">
        <v>1864</v>
      </c>
      <c r="E1125" t="s">
        <v>1678</v>
      </c>
    </row>
    <row r="1126" spans="1:5" x14ac:dyDescent="0.4">
      <c r="A1126" t="s">
        <v>1069</v>
      </c>
      <c r="B1126">
        <v>16</v>
      </c>
      <c r="C1126" t="s">
        <v>1676</v>
      </c>
      <c r="D1126" t="s">
        <v>1738</v>
      </c>
      <c r="E1126" t="s">
        <v>1678</v>
      </c>
    </row>
    <row r="1127" spans="1:5" x14ac:dyDescent="0.4">
      <c r="A1127" t="s">
        <v>2387</v>
      </c>
    </row>
    <row r="1128" spans="1:5" x14ac:dyDescent="0.4">
      <c r="A1128" t="s">
        <v>2388</v>
      </c>
    </row>
    <row r="1129" spans="1:5" x14ac:dyDescent="0.4">
      <c r="A1129" t="s">
        <v>1073</v>
      </c>
      <c r="B1129">
        <v>11</v>
      </c>
      <c r="C1129" t="s">
        <v>1676</v>
      </c>
      <c r="D1129" t="s">
        <v>2102</v>
      </c>
      <c r="E1129" t="s">
        <v>1678</v>
      </c>
    </row>
    <row r="1130" spans="1:5" x14ac:dyDescent="0.4">
      <c r="A1130" t="s">
        <v>1073</v>
      </c>
      <c r="B1130">
        <v>13</v>
      </c>
      <c r="C1130" t="s">
        <v>1676</v>
      </c>
      <c r="D1130" t="s">
        <v>1691</v>
      </c>
      <c r="E1130" t="s">
        <v>1678</v>
      </c>
    </row>
    <row r="1131" spans="1:5" x14ac:dyDescent="0.4">
      <c r="A1131" t="s">
        <v>2389</v>
      </c>
    </row>
    <row r="1132" spans="1:5" x14ac:dyDescent="0.4">
      <c r="A1132" t="s">
        <v>1075</v>
      </c>
      <c r="B1132">
        <v>11</v>
      </c>
      <c r="C1132" t="s">
        <v>1676</v>
      </c>
      <c r="D1132" t="s">
        <v>1738</v>
      </c>
      <c r="E1132" t="s">
        <v>1678</v>
      </c>
    </row>
    <row r="1133" spans="1:5" x14ac:dyDescent="0.4">
      <c r="A1133" t="s">
        <v>2390</v>
      </c>
    </row>
    <row r="1134" spans="1:5" x14ac:dyDescent="0.4">
      <c r="A1134" t="s">
        <v>2391</v>
      </c>
    </row>
    <row r="1135" spans="1:5" x14ac:dyDescent="0.4">
      <c r="A1135" t="s">
        <v>1079</v>
      </c>
      <c r="B1135">
        <v>7</v>
      </c>
      <c r="C1135" t="s">
        <v>1676</v>
      </c>
      <c r="D1135" t="s">
        <v>1742</v>
      </c>
      <c r="E1135" t="s">
        <v>1678</v>
      </c>
    </row>
    <row r="1136" spans="1:5" x14ac:dyDescent="0.4">
      <c r="A1136" t="s">
        <v>1079</v>
      </c>
      <c r="B1136">
        <v>9</v>
      </c>
      <c r="C1136" t="s">
        <v>1676</v>
      </c>
      <c r="D1136" t="s">
        <v>1724</v>
      </c>
      <c r="E1136" t="s">
        <v>1678</v>
      </c>
    </row>
    <row r="1137" spans="1:5" x14ac:dyDescent="0.4">
      <c r="A1137" t="s">
        <v>2392</v>
      </c>
    </row>
    <row r="1138" spans="1:5" x14ac:dyDescent="0.4">
      <c r="A1138" t="s">
        <v>2393</v>
      </c>
    </row>
    <row r="1139" spans="1:5" x14ac:dyDescent="0.4">
      <c r="A1139" t="s">
        <v>1083</v>
      </c>
      <c r="B1139">
        <v>2</v>
      </c>
      <c r="C1139" t="s">
        <v>1676</v>
      </c>
      <c r="D1139" t="s">
        <v>1704</v>
      </c>
      <c r="E1139" t="s">
        <v>1678</v>
      </c>
    </row>
    <row r="1140" spans="1:5" x14ac:dyDescent="0.4">
      <c r="A1140" t="s">
        <v>2394</v>
      </c>
    </row>
    <row r="1141" spans="1:5" x14ac:dyDescent="0.4">
      <c r="A1141" t="s">
        <v>2395</v>
      </c>
    </row>
    <row r="1142" spans="1:5" x14ac:dyDescent="0.4">
      <c r="A1142" t="s">
        <v>1087</v>
      </c>
      <c r="B1142">
        <v>2</v>
      </c>
      <c r="C1142" t="s">
        <v>1676</v>
      </c>
      <c r="D1142" t="s">
        <v>1696</v>
      </c>
      <c r="E1142" t="s">
        <v>1678</v>
      </c>
    </row>
    <row r="1143" spans="1:5" x14ac:dyDescent="0.4">
      <c r="A1143" t="s">
        <v>1087</v>
      </c>
      <c r="B1143">
        <v>16</v>
      </c>
      <c r="C1143" t="s">
        <v>1676</v>
      </c>
      <c r="D1143" t="s">
        <v>1726</v>
      </c>
      <c r="E1143" t="s">
        <v>1678</v>
      </c>
    </row>
    <row r="1144" spans="1:5" x14ac:dyDescent="0.4">
      <c r="A1144" t="s">
        <v>2396</v>
      </c>
    </row>
    <row r="1145" spans="1:5" x14ac:dyDescent="0.4">
      <c r="A1145" t="s">
        <v>1089</v>
      </c>
      <c r="B1145">
        <v>1</v>
      </c>
      <c r="C1145" t="s">
        <v>1676</v>
      </c>
      <c r="D1145" t="s">
        <v>1724</v>
      </c>
      <c r="E1145" t="s">
        <v>1678</v>
      </c>
    </row>
    <row r="1146" spans="1:5" x14ac:dyDescent="0.4">
      <c r="A1146" t="s">
        <v>1089</v>
      </c>
      <c r="B1146">
        <v>4</v>
      </c>
      <c r="C1146" t="s">
        <v>1676</v>
      </c>
      <c r="D1146" t="s">
        <v>1864</v>
      </c>
      <c r="E1146" t="s">
        <v>1678</v>
      </c>
    </row>
    <row r="1147" spans="1:5" x14ac:dyDescent="0.4">
      <c r="A1147" t="s">
        <v>1089</v>
      </c>
      <c r="B1147">
        <v>11</v>
      </c>
      <c r="C1147" t="s">
        <v>1676</v>
      </c>
      <c r="D1147" t="s">
        <v>1744</v>
      </c>
      <c r="E1147" t="s">
        <v>1678</v>
      </c>
    </row>
    <row r="1148" spans="1:5" x14ac:dyDescent="0.4">
      <c r="A1148" t="s">
        <v>2397</v>
      </c>
    </row>
    <row r="1149" spans="1:5" x14ac:dyDescent="0.4">
      <c r="A1149" t="s">
        <v>1091</v>
      </c>
      <c r="B1149">
        <v>8</v>
      </c>
      <c r="C1149" t="s">
        <v>1676</v>
      </c>
      <c r="D1149" t="s">
        <v>1704</v>
      </c>
      <c r="E1149" t="s">
        <v>1678</v>
      </c>
    </row>
    <row r="1150" spans="1:5" x14ac:dyDescent="0.4">
      <c r="A1150" t="s">
        <v>1091</v>
      </c>
      <c r="B1150">
        <v>13</v>
      </c>
      <c r="C1150" t="s">
        <v>1676</v>
      </c>
      <c r="D1150" t="s">
        <v>2081</v>
      </c>
      <c r="E1150" t="s">
        <v>1678</v>
      </c>
    </row>
    <row r="1151" spans="1:5" x14ac:dyDescent="0.4">
      <c r="A1151" t="s">
        <v>1091</v>
      </c>
      <c r="B1151">
        <v>15</v>
      </c>
      <c r="C1151" t="s">
        <v>1676</v>
      </c>
      <c r="D1151" t="s">
        <v>2398</v>
      </c>
      <c r="E1151" t="s">
        <v>1678</v>
      </c>
    </row>
    <row r="1152" spans="1:5" x14ac:dyDescent="0.4">
      <c r="A1152" t="s">
        <v>2399</v>
      </c>
    </row>
    <row r="1153" spans="1:5" x14ac:dyDescent="0.4">
      <c r="A1153" t="s">
        <v>1093</v>
      </c>
      <c r="B1153">
        <v>10</v>
      </c>
      <c r="C1153" t="s">
        <v>1676</v>
      </c>
      <c r="D1153" t="s">
        <v>1707</v>
      </c>
      <c r="E1153" t="s">
        <v>1678</v>
      </c>
    </row>
    <row r="1154" spans="1:5" x14ac:dyDescent="0.4">
      <c r="A1154" t="s">
        <v>2400</v>
      </c>
    </row>
    <row r="1155" spans="1:5" x14ac:dyDescent="0.4">
      <c r="A1155" t="s">
        <v>2401</v>
      </c>
    </row>
    <row r="1156" spans="1:5" x14ac:dyDescent="0.4">
      <c r="A1156" t="s">
        <v>2402</v>
      </c>
    </row>
    <row r="1157" spans="1:5" x14ac:dyDescent="0.4">
      <c r="A1157" t="s">
        <v>1099</v>
      </c>
      <c r="B1157">
        <v>18</v>
      </c>
      <c r="C1157" t="s">
        <v>1676</v>
      </c>
      <c r="D1157" t="s">
        <v>1864</v>
      </c>
      <c r="E1157" t="s">
        <v>1678</v>
      </c>
    </row>
    <row r="1158" spans="1:5" x14ac:dyDescent="0.4">
      <c r="A1158" t="s">
        <v>1099</v>
      </c>
      <c r="B1158">
        <v>21</v>
      </c>
      <c r="C1158" t="s">
        <v>1676</v>
      </c>
      <c r="D1158" t="s">
        <v>1679</v>
      </c>
      <c r="E1158" t="s">
        <v>1678</v>
      </c>
    </row>
    <row r="1159" spans="1:5" x14ac:dyDescent="0.4">
      <c r="A1159" t="s">
        <v>2403</v>
      </c>
    </row>
    <row r="1160" spans="1:5" x14ac:dyDescent="0.4">
      <c r="A1160" t="s">
        <v>2404</v>
      </c>
    </row>
    <row r="1161" spans="1:5" x14ac:dyDescent="0.4">
      <c r="A1161" t="s">
        <v>2405</v>
      </c>
    </row>
    <row r="1162" spans="1:5" x14ac:dyDescent="0.4">
      <c r="A1162" t="s">
        <v>1105</v>
      </c>
      <c r="B1162">
        <v>7</v>
      </c>
      <c r="C1162" t="s">
        <v>1676</v>
      </c>
      <c r="D1162" t="s">
        <v>1995</v>
      </c>
      <c r="E1162" t="s">
        <v>1678</v>
      </c>
    </row>
    <row r="1163" spans="1:5" x14ac:dyDescent="0.4">
      <c r="A1163" t="s">
        <v>2406</v>
      </c>
    </row>
    <row r="1164" spans="1:5" x14ac:dyDescent="0.4">
      <c r="A1164" t="s">
        <v>1107</v>
      </c>
      <c r="B1164">
        <v>10</v>
      </c>
      <c r="C1164" t="s">
        <v>1676</v>
      </c>
      <c r="D1164" t="s">
        <v>1707</v>
      </c>
      <c r="E1164" t="s">
        <v>1678</v>
      </c>
    </row>
    <row r="1165" spans="1:5" x14ac:dyDescent="0.4">
      <c r="A1165" t="s">
        <v>2407</v>
      </c>
    </row>
    <row r="1166" spans="1:5" x14ac:dyDescent="0.4">
      <c r="A1166" t="s">
        <v>1109</v>
      </c>
      <c r="B1166">
        <v>9</v>
      </c>
      <c r="C1166" t="s">
        <v>1676</v>
      </c>
      <c r="D1166" t="s">
        <v>1710</v>
      </c>
      <c r="E1166" t="s">
        <v>1678</v>
      </c>
    </row>
    <row r="1167" spans="1:5" x14ac:dyDescent="0.4">
      <c r="A1167" t="s">
        <v>1109</v>
      </c>
      <c r="B1167">
        <v>19</v>
      </c>
      <c r="C1167" t="s">
        <v>1676</v>
      </c>
      <c r="D1167" t="s">
        <v>1704</v>
      </c>
      <c r="E1167" t="s">
        <v>1678</v>
      </c>
    </row>
    <row r="1168" spans="1:5" x14ac:dyDescent="0.4">
      <c r="A1168" t="s">
        <v>2408</v>
      </c>
    </row>
    <row r="1169" spans="1:5" x14ac:dyDescent="0.4">
      <c r="A1169" t="s">
        <v>1111</v>
      </c>
      <c r="B1169">
        <v>8</v>
      </c>
      <c r="C1169" t="s">
        <v>1676</v>
      </c>
      <c r="D1169" t="s">
        <v>2114</v>
      </c>
      <c r="E1169" t="s">
        <v>1678</v>
      </c>
    </row>
    <row r="1170" spans="1:5" x14ac:dyDescent="0.4">
      <c r="A1170" t="s">
        <v>2409</v>
      </c>
    </row>
    <row r="1171" spans="1:5" x14ac:dyDescent="0.4">
      <c r="A1171" t="s">
        <v>1113</v>
      </c>
      <c r="B1171">
        <v>17</v>
      </c>
      <c r="C1171" t="s">
        <v>1676</v>
      </c>
      <c r="D1171" t="s">
        <v>2296</v>
      </c>
      <c r="E1171" t="s">
        <v>1678</v>
      </c>
    </row>
    <row r="1172" spans="1:5" x14ac:dyDescent="0.4">
      <c r="A1172" t="s">
        <v>1113</v>
      </c>
      <c r="B1172">
        <v>18</v>
      </c>
      <c r="C1172" t="s">
        <v>1676</v>
      </c>
      <c r="D1172" t="s">
        <v>1905</v>
      </c>
      <c r="E1172" t="s">
        <v>1678</v>
      </c>
    </row>
    <row r="1173" spans="1:5" x14ac:dyDescent="0.4">
      <c r="A1173" t="s">
        <v>2410</v>
      </c>
    </row>
    <row r="1174" spans="1:5" x14ac:dyDescent="0.4">
      <c r="A1174" t="s">
        <v>2411</v>
      </c>
    </row>
    <row r="1175" spans="1:5" x14ac:dyDescent="0.4">
      <c r="A1175" t="s">
        <v>2412</v>
      </c>
    </row>
    <row r="1176" spans="1:5" x14ac:dyDescent="0.4">
      <c r="A1176" t="s">
        <v>2413</v>
      </c>
    </row>
    <row r="1177" spans="1:5" x14ac:dyDescent="0.4">
      <c r="A1177" t="s">
        <v>2414</v>
      </c>
    </row>
    <row r="1178" spans="1:5" x14ac:dyDescent="0.4">
      <c r="A1178" t="s">
        <v>2415</v>
      </c>
    </row>
    <row r="1179" spans="1:5" x14ac:dyDescent="0.4">
      <c r="A1179" t="s">
        <v>1125</v>
      </c>
      <c r="B1179">
        <v>19</v>
      </c>
      <c r="C1179" t="s">
        <v>1676</v>
      </c>
      <c r="D1179" t="s">
        <v>1744</v>
      </c>
      <c r="E1179" t="s">
        <v>1678</v>
      </c>
    </row>
    <row r="1180" spans="1:5" x14ac:dyDescent="0.4">
      <c r="A1180" t="s">
        <v>2416</v>
      </c>
    </row>
    <row r="1181" spans="1:5" x14ac:dyDescent="0.4">
      <c r="A1181" t="s">
        <v>1127</v>
      </c>
      <c r="B1181">
        <v>14</v>
      </c>
      <c r="C1181" t="s">
        <v>1676</v>
      </c>
      <c r="D1181" t="s">
        <v>1922</v>
      </c>
      <c r="E1181" t="s">
        <v>1678</v>
      </c>
    </row>
    <row r="1182" spans="1:5" x14ac:dyDescent="0.4">
      <c r="A1182" t="s">
        <v>1127</v>
      </c>
      <c r="B1182">
        <v>16</v>
      </c>
      <c r="C1182" t="s">
        <v>1676</v>
      </c>
      <c r="D1182" t="s">
        <v>1765</v>
      </c>
      <c r="E1182" t="s">
        <v>1678</v>
      </c>
    </row>
    <row r="1183" spans="1:5" x14ac:dyDescent="0.4">
      <c r="A1183" t="s">
        <v>1127</v>
      </c>
      <c r="B1183">
        <v>17</v>
      </c>
      <c r="C1183" t="s">
        <v>1676</v>
      </c>
      <c r="D1183" t="s">
        <v>1726</v>
      </c>
      <c r="E1183" t="s">
        <v>1678</v>
      </c>
    </row>
    <row r="1184" spans="1:5" x14ac:dyDescent="0.4">
      <c r="A1184" t="s">
        <v>1127</v>
      </c>
      <c r="B1184">
        <v>19</v>
      </c>
      <c r="C1184" t="s">
        <v>1676</v>
      </c>
      <c r="D1184" t="s">
        <v>2380</v>
      </c>
      <c r="E1184" t="s">
        <v>1678</v>
      </c>
    </row>
    <row r="1185" spans="1:5" x14ac:dyDescent="0.4">
      <c r="A1185" t="s">
        <v>2417</v>
      </c>
    </row>
    <row r="1186" spans="1:5" x14ac:dyDescent="0.4">
      <c r="A1186" t="s">
        <v>2418</v>
      </c>
    </row>
    <row r="1187" spans="1:5" x14ac:dyDescent="0.4">
      <c r="A1187" t="s">
        <v>2419</v>
      </c>
    </row>
    <row r="1188" spans="1:5" x14ac:dyDescent="0.4">
      <c r="A1188" t="s">
        <v>1133</v>
      </c>
      <c r="B1188">
        <v>19</v>
      </c>
      <c r="C1188" t="s">
        <v>1676</v>
      </c>
      <c r="D1188" t="s">
        <v>2420</v>
      </c>
      <c r="E1188" t="s">
        <v>1678</v>
      </c>
    </row>
    <row r="1189" spans="1:5" x14ac:dyDescent="0.4">
      <c r="A1189" t="s">
        <v>2421</v>
      </c>
    </row>
    <row r="1190" spans="1:5" x14ac:dyDescent="0.4">
      <c r="A1190" t="s">
        <v>1135</v>
      </c>
      <c r="B1190">
        <v>1</v>
      </c>
      <c r="C1190" t="s">
        <v>1676</v>
      </c>
      <c r="D1190" t="s">
        <v>1679</v>
      </c>
      <c r="E1190" t="s">
        <v>1678</v>
      </c>
    </row>
    <row r="1191" spans="1:5" x14ac:dyDescent="0.4">
      <c r="A1191" t="s">
        <v>1135</v>
      </c>
      <c r="B1191">
        <v>10</v>
      </c>
      <c r="C1191" t="s">
        <v>1676</v>
      </c>
      <c r="D1191" t="s">
        <v>1829</v>
      </c>
      <c r="E1191" t="s">
        <v>1678</v>
      </c>
    </row>
    <row r="1192" spans="1:5" x14ac:dyDescent="0.4">
      <c r="A1192" t="s">
        <v>2422</v>
      </c>
    </row>
    <row r="1193" spans="1:5" x14ac:dyDescent="0.4">
      <c r="A1193" t="s">
        <v>1137</v>
      </c>
      <c r="B1193">
        <v>6</v>
      </c>
      <c r="C1193" t="s">
        <v>1676</v>
      </c>
      <c r="D1193" t="s">
        <v>1700</v>
      </c>
      <c r="E1193" t="s">
        <v>1678</v>
      </c>
    </row>
    <row r="1194" spans="1:5" x14ac:dyDescent="0.4">
      <c r="A1194" t="s">
        <v>1137</v>
      </c>
      <c r="B1194">
        <v>9</v>
      </c>
      <c r="C1194" t="s">
        <v>1676</v>
      </c>
      <c r="D1194" t="s">
        <v>1696</v>
      </c>
      <c r="E1194" t="s">
        <v>1678</v>
      </c>
    </row>
    <row r="1195" spans="1:5" x14ac:dyDescent="0.4">
      <c r="A1195" t="s">
        <v>1137</v>
      </c>
      <c r="B1195">
        <v>11</v>
      </c>
      <c r="C1195" t="s">
        <v>1676</v>
      </c>
      <c r="D1195" t="s">
        <v>1823</v>
      </c>
      <c r="E1195" t="s">
        <v>1678</v>
      </c>
    </row>
    <row r="1196" spans="1:5" x14ac:dyDescent="0.4">
      <c r="A1196" t="s">
        <v>1137</v>
      </c>
      <c r="B1196">
        <v>14</v>
      </c>
      <c r="C1196" t="s">
        <v>1676</v>
      </c>
      <c r="D1196" t="s">
        <v>2423</v>
      </c>
      <c r="E1196" t="s">
        <v>1678</v>
      </c>
    </row>
    <row r="1197" spans="1:5" x14ac:dyDescent="0.4">
      <c r="A1197" t="s">
        <v>2424</v>
      </c>
    </row>
    <row r="1198" spans="1:5" x14ac:dyDescent="0.4">
      <c r="A1198" t="s">
        <v>1139</v>
      </c>
      <c r="B1198">
        <v>15</v>
      </c>
      <c r="C1198" t="s">
        <v>1676</v>
      </c>
      <c r="D1198" t="s">
        <v>1711</v>
      </c>
      <c r="E1198" t="s">
        <v>1678</v>
      </c>
    </row>
    <row r="1199" spans="1:5" x14ac:dyDescent="0.4">
      <c r="A1199" t="s">
        <v>2425</v>
      </c>
    </row>
    <row r="1200" spans="1:5" x14ac:dyDescent="0.4">
      <c r="A1200" t="s">
        <v>1141</v>
      </c>
      <c r="B1200">
        <v>11</v>
      </c>
      <c r="C1200" t="s">
        <v>1676</v>
      </c>
      <c r="D1200" t="s">
        <v>1780</v>
      </c>
      <c r="E1200" t="s">
        <v>1678</v>
      </c>
    </row>
    <row r="1201" spans="1:5" x14ac:dyDescent="0.4">
      <c r="A1201" t="s">
        <v>2426</v>
      </c>
    </row>
    <row r="1202" spans="1:5" x14ac:dyDescent="0.4">
      <c r="A1202" t="s">
        <v>1143</v>
      </c>
      <c r="B1202">
        <v>3</v>
      </c>
      <c r="C1202" t="s">
        <v>1676</v>
      </c>
      <c r="D1202" t="s">
        <v>1962</v>
      </c>
      <c r="E1202" t="s">
        <v>1678</v>
      </c>
    </row>
    <row r="1203" spans="1:5" x14ac:dyDescent="0.4">
      <c r="A1203" t="s">
        <v>2427</v>
      </c>
    </row>
    <row r="1204" spans="1:5" x14ac:dyDescent="0.4">
      <c r="A1204" t="s">
        <v>1145</v>
      </c>
      <c r="B1204">
        <v>11</v>
      </c>
      <c r="C1204" t="s">
        <v>1676</v>
      </c>
      <c r="D1204" t="s">
        <v>1912</v>
      </c>
      <c r="E1204" t="s">
        <v>1678</v>
      </c>
    </row>
    <row r="1205" spans="1:5" x14ac:dyDescent="0.4">
      <c r="A1205" t="s">
        <v>2428</v>
      </c>
    </row>
    <row r="1206" spans="1:5" x14ac:dyDescent="0.4">
      <c r="A1206" t="s">
        <v>1147</v>
      </c>
      <c r="B1206">
        <v>6</v>
      </c>
      <c r="C1206" t="s">
        <v>1676</v>
      </c>
      <c r="D1206" t="s">
        <v>1693</v>
      </c>
      <c r="E1206" t="s">
        <v>1678</v>
      </c>
    </row>
    <row r="1207" spans="1:5" x14ac:dyDescent="0.4">
      <c r="A1207" t="s">
        <v>1147</v>
      </c>
      <c r="B1207">
        <v>7</v>
      </c>
      <c r="C1207" t="s">
        <v>1676</v>
      </c>
      <c r="D1207" t="s">
        <v>1689</v>
      </c>
      <c r="E1207" t="s">
        <v>1678</v>
      </c>
    </row>
    <row r="1208" spans="1:5" x14ac:dyDescent="0.4">
      <c r="A1208" t="s">
        <v>1147</v>
      </c>
      <c r="B1208">
        <v>11</v>
      </c>
      <c r="C1208" t="s">
        <v>1676</v>
      </c>
      <c r="D1208" t="s">
        <v>1739</v>
      </c>
      <c r="E1208" t="s">
        <v>1678</v>
      </c>
    </row>
    <row r="1209" spans="1:5" x14ac:dyDescent="0.4">
      <c r="A1209" t="s">
        <v>1147</v>
      </c>
      <c r="B1209">
        <v>20</v>
      </c>
      <c r="C1209" t="s">
        <v>1676</v>
      </c>
      <c r="D1209" t="s">
        <v>1739</v>
      </c>
      <c r="E1209" t="s">
        <v>1678</v>
      </c>
    </row>
    <row r="1210" spans="1:5" x14ac:dyDescent="0.4">
      <c r="A1210" t="s">
        <v>2429</v>
      </c>
    </row>
    <row r="1211" spans="1:5" x14ac:dyDescent="0.4">
      <c r="A1211" t="s">
        <v>1149</v>
      </c>
      <c r="B1211">
        <v>9</v>
      </c>
      <c r="C1211" t="s">
        <v>1676</v>
      </c>
      <c r="D1211" t="s">
        <v>2182</v>
      </c>
      <c r="E1211" t="s">
        <v>1678</v>
      </c>
    </row>
    <row r="1212" spans="1:5" x14ac:dyDescent="0.4">
      <c r="A1212" t="s">
        <v>1149</v>
      </c>
      <c r="B1212">
        <v>15</v>
      </c>
      <c r="C1212" t="s">
        <v>1676</v>
      </c>
      <c r="D1212" t="s">
        <v>1962</v>
      </c>
      <c r="E1212" t="s">
        <v>1678</v>
      </c>
    </row>
    <row r="1213" spans="1:5" x14ac:dyDescent="0.4">
      <c r="A1213" t="s">
        <v>2430</v>
      </c>
    </row>
    <row r="1214" spans="1:5" x14ac:dyDescent="0.4">
      <c r="A1214" t="s">
        <v>1151</v>
      </c>
      <c r="B1214">
        <v>15</v>
      </c>
      <c r="C1214" t="s">
        <v>1676</v>
      </c>
      <c r="D1214" t="s">
        <v>1705</v>
      </c>
      <c r="E1214" t="s">
        <v>1678</v>
      </c>
    </row>
    <row r="1215" spans="1:5" x14ac:dyDescent="0.4">
      <c r="A1215" t="s">
        <v>2431</v>
      </c>
    </row>
    <row r="1216" spans="1:5" x14ac:dyDescent="0.4">
      <c r="A1216" t="s">
        <v>2432</v>
      </c>
    </row>
    <row r="1217" spans="1:5" x14ac:dyDescent="0.4">
      <c r="A1217" t="s">
        <v>1155</v>
      </c>
      <c r="B1217">
        <v>3</v>
      </c>
      <c r="C1217" t="s">
        <v>1676</v>
      </c>
      <c r="D1217" t="s">
        <v>1691</v>
      </c>
      <c r="E1217" t="s">
        <v>1678</v>
      </c>
    </row>
    <row r="1218" spans="1:5" x14ac:dyDescent="0.4">
      <c r="A1218" t="s">
        <v>1155</v>
      </c>
      <c r="B1218">
        <v>9</v>
      </c>
      <c r="C1218" t="s">
        <v>1676</v>
      </c>
      <c r="D1218" t="s">
        <v>1683</v>
      </c>
      <c r="E1218" t="s">
        <v>1678</v>
      </c>
    </row>
    <row r="1219" spans="1:5" x14ac:dyDescent="0.4">
      <c r="A1219" t="s">
        <v>1155</v>
      </c>
      <c r="B1219">
        <v>12</v>
      </c>
      <c r="C1219" t="s">
        <v>1676</v>
      </c>
      <c r="D1219" t="s">
        <v>1677</v>
      </c>
      <c r="E1219" t="s">
        <v>1678</v>
      </c>
    </row>
    <row r="1220" spans="1:5" x14ac:dyDescent="0.4">
      <c r="A1220" t="s">
        <v>1155</v>
      </c>
      <c r="B1220">
        <v>14</v>
      </c>
      <c r="C1220" t="s">
        <v>1676</v>
      </c>
      <c r="D1220" t="s">
        <v>1719</v>
      </c>
      <c r="E1220" t="s">
        <v>1678</v>
      </c>
    </row>
    <row r="1221" spans="1:5" x14ac:dyDescent="0.4">
      <c r="A1221" t="s">
        <v>2433</v>
      </c>
    </row>
    <row r="1222" spans="1:5" x14ac:dyDescent="0.4">
      <c r="A1222" t="s">
        <v>1157</v>
      </c>
      <c r="B1222">
        <v>14</v>
      </c>
      <c r="C1222" t="s">
        <v>1676</v>
      </c>
      <c r="D1222" t="s">
        <v>1693</v>
      </c>
      <c r="E1222" t="s">
        <v>1678</v>
      </c>
    </row>
    <row r="1223" spans="1:5" x14ac:dyDescent="0.4">
      <c r="A1223" t="s">
        <v>2434</v>
      </c>
    </row>
    <row r="1224" spans="1:5" x14ac:dyDescent="0.4">
      <c r="A1224" t="s">
        <v>1159</v>
      </c>
      <c r="B1224">
        <v>11</v>
      </c>
      <c r="C1224" t="s">
        <v>1676</v>
      </c>
      <c r="D1224" t="s">
        <v>1969</v>
      </c>
      <c r="E1224" t="s">
        <v>1678</v>
      </c>
    </row>
    <row r="1225" spans="1:5" x14ac:dyDescent="0.4">
      <c r="A1225" t="s">
        <v>1159</v>
      </c>
      <c r="B1225">
        <v>14</v>
      </c>
      <c r="C1225" t="s">
        <v>1676</v>
      </c>
      <c r="D1225" t="s">
        <v>2435</v>
      </c>
      <c r="E1225" t="s">
        <v>1678</v>
      </c>
    </row>
    <row r="1226" spans="1:5" x14ac:dyDescent="0.4">
      <c r="A1226" t="s">
        <v>1159</v>
      </c>
      <c r="B1226">
        <v>19</v>
      </c>
      <c r="C1226" t="s">
        <v>1676</v>
      </c>
      <c r="D1226" t="s">
        <v>1706</v>
      </c>
      <c r="E1226" t="s">
        <v>1678</v>
      </c>
    </row>
    <row r="1227" spans="1:5" x14ac:dyDescent="0.4">
      <c r="A1227" t="s">
        <v>1159</v>
      </c>
      <c r="B1227">
        <v>20</v>
      </c>
      <c r="C1227" t="s">
        <v>1676</v>
      </c>
      <c r="D1227" t="s">
        <v>2097</v>
      </c>
      <c r="E1227" t="s">
        <v>1678</v>
      </c>
    </row>
    <row r="1228" spans="1:5" x14ac:dyDescent="0.4">
      <c r="A1228" t="s">
        <v>2436</v>
      </c>
    </row>
    <row r="1229" spans="1:5" x14ac:dyDescent="0.4">
      <c r="A1229" t="s">
        <v>2437</v>
      </c>
    </row>
    <row r="1230" spans="1:5" x14ac:dyDescent="0.4">
      <c r="A1230" t="s">
        <v>2438</v>
      </c>
    </row>
    <row r="1231" spans="1:5" x14ac:dyDescent="0.4">
      <c r="A1231" t="s">
        <v>1165</v>
      </c>
      <c r="B1231">
        <v>3</v>
      </c>
      <c r="C1231" t="s">
        <v>1676</v>
      </c>
      <c r="D1231" t="s">
        <v>1742</v>
      </c>
      <c r="E1231" t="s">
        <v>1678</v>
      </c>
    </row>
    <row r="1232" spans="1:5" x14ac:dyDescent="0.4">
      <c r="A1232" t="s">
        <v>1165</v>
      </c>
      <c r="B1232">
        <v>6</v>
      </c>
      <c r="C1232" t="s">
        <v>1676</v>
      </c>
      <c r="D1232" t="s">
        <v>1690</v>
      </c>
      <c r="E1232" t="s">
        <v>1678</v>
      </c>
    </row>
    <row r="1233" spans="1:5" x14ac:dyDescent="0.4">
      <c r="A1233" t="s">
        <v>2439</v>
      </c>
    </row>
    <row r="1234" spans="1:5" x14ac:dyDescent="0.4">
      <c r="A1234" t="s">
        <v>1167</v>
      </c>
      <c r="B1234">
        <v>19</v>
      </c>
      <c r="C1234" t="s">
        <v>1676</v>
      </c>
      <c r="D1234" t="s">
        <v>1737</v>
      </c>
      <c r="E1234" t="s">
        <v>1678</v>
      </c>
    </row>
    <row r="1235" spans="1:5" x14ac:dyDescent="0.4">
      <c r="A1235" t="s">
        <v>2440</v>
      </c>
    </row>
    <row r="1236" spans="1:5" x14ac:dyDescent="0.4">
      <c r="A1236" t="s">
        <v>2441</v>
      </c>
    </row>
    <row r="1237" spans="1:5" x14ac:dyDescent="0.4">
      <c r="A1237" t="s">
        <v>1171</v>
      </c>
      <c r="B1237">
        <v>9</v>
      </c>
      <c r="C1237" t="s">
        <v>1676</v>
      </c>
      <c r="D1237" t="s">
        <v>1742</v>
      </c>
      <c r="E1237" t="s">
        <v>1678</v>
      </c>
    </row>
    <row r="1238" spans="1:5" x14ac:dyDescent="0.4">
      <c r="A1238" t="s">
        <v>1171</v>
      </c>
      <c r="B1238">
        <v>10</v>
      </c>
      <c r="C1238" t="s">
        <v>1676</v>
      </c>
      <c r="D1238" t="s">
        <v>1681</v>
      </c>
      <c r="E1238" t="s">
        <v>1678</v>
      </c>
    </row>
    <row r="1239" spans="1:5" x14ac:dyDescent="0.4">
      <c r="A1239" t="s">
        <v>2442</v>
      </c>
    </row>
    <row r="1240" spans="1:5" x14ac:dyDescent="0.4">
      <c r="A1240" t="s">
        <v>1173</v>
      </c>
      <c r="B1240">
        <v>20</v>
      </c>
      <c r="C1240" t="s">
        <v>1676</v>
      </c>
      <c r="D1240" t="s">
        <v>1765</v>
      </c>
      <c r="E1240" t="s">
        <v>1678</v>
      </c>
    </row>
    <row r="1241" spans="1:5" x14ac:dyDescent="0.4">
      <c r="A1241" t="s">
        <v>2443</v>
      </c>
    </row>
    <row r="1242" spans="1:5" x14ac:dyDescent="0.4">
      <c r="A1242" t="s">
        <v>2444</v>
      </c>
    </row>
    <row r="1243" spans="1:5" x14ac:dyDescent="0.4">
      <c r="A1243" t="s">
        <v>2445</v>
      </c>
    </row>
    <row r="1244" spans="1:5" x14ac:dyDescent="0.4">
      <c r="A1244" t="s">
        <v>1179</v>
      </c>
      <c r="B1244">
        <v>8</v>
      </c>
      <c r="C1244" t="s">
        <v>1676</v>
      </c>
      <c r="D1244" t="s">
        <v>1945</v>
      </c>
      <c r="E1244" t="s">
        <v>1678</v>
      </c>
    </row>
    <row r="1245" spans="1:5" x14ac:dyDescent="0.4">
      <c r="A1245" t="s">
        <v>2446</v>
      </c>
    </row>
    <row r="1246" spans="1:5" x14ac:dyDescent="0.4">
      <c r="A1246" t="s">
        <v>1181</v>
      </c>
      <c r="B1246">
        <v>3</v>
      </c>
      <c r="C1246" t="s">
        <v>1676</v>
      </c>
      <c r="D1246" t="s">
        <v>1689</v>
      </c>
      <c r="E1246" t="s">
        <v>1678</v>
      </c>
    </row>
    <row r="1247" spans="1:5" x14ac:dyDescent="0.4">
      <c r="A1247" t="s">
        <v>2447</v>
      </c>
    </row>
    <row r="1248" spans="1:5" x14ac:dyDescent="0.4">
      <c r="A1248" t="s">
        <v>2448</v>
      </c>
    </row>
    <row r="1249" spans="1:5" x14ac:dyDescent="0.4">
      <c r="A1249" t="s">
        <v>1185</v>
      </c>
      <c r="B1249">
        <v>11</v>
      </c>
      <c r="C1249" t="s">
        <v>1676</v>
      </c>
      <c r="D1249" t="s">
        <v>2449</v>
      </c>
      <c r="E1249" t="s">
        <v>1678</v>
      </c>
    </row>
    <row r="1250" spans="1:5" x14ac:dyDescent="0.4">
      <c r="A1250" t="s">
        <v>1185</v>
      </c>
      <c r="B1250">
        <v>20</v>
      </c>
      <c r="C1250" t="s">
        <v>1676</v>
      </c>
      <c r="D1250" t="s">
        <v>1694</v>
      </c>
      <c r="E1250" t="s">
        <v>1678</v>
      </c>
    </row>
    <row r="1251" spans="1:5" x14ac:dyDescent="0.4">
      <c r="A1251" t="s">
        <v>2450</v>
      </c>
    </row>
    <row r="1252" spans="1:5" x14ac:dyDescent="0.4">
      <c r="A1252" t="s">
        <v>2451</v>
      </c>
    </row>
    <row r="1253" spans="1:5" x14ac:dyDescent="0.4">
      <c r="A1253" t="s">
        <v>1189</v>
      </c>
      <c r="B1253">
        <v>7</v>
      </c>
      <c r="C1253" t="s">
        <v>1676</v>
      </c>
      <c r="D1253" t="s">
        <v>1696</v>
      </c>
      <c r="E1253" t="s">
        <v>1678</v>
      </c>
    </row>
    <row r="1254" spans="1:5" x14ac:dyDescent="0.4">
      <c r="A1254" t="s">
        <v>1189</v>
      </c>
      <c r="B1254">
        <v>16</v>
      </c>
      <c r="C1254" t="s">
        <v>1676</v>
      </c>
      <c r="D1254" t="s">
        <v>1734</v>
      </c>
      <c r="E1254" t="s">
        <v>1678</v>
      </c>
    </row>
    <row r="1255" spans="1:5" x14ac:dyDescent="0.4">
      <c r="A1255" t="s">
        <v>2452</v>
      </c>
    </row>
    <row r="1256" spans="1:5" x14ac:dyDescent="0.4">
      <c r="A1256" t="s">
        <v>1191</v>
      </c>
      <c r="B1256">
        <v>1</v>
      </c>
      <c r="C1256" t="s">
        <v>1676</v>
      </c>
      <c r="D1256" t="s">
        <v>1962</v>
      </c>
      <c r="E1256" t="s">
        <v>1678</v>
      </c>
    </row>
    <row r="1257" spans="1:5" x14ac:dyDescent="0.4">
      <c r="A1257" t="s">
        <v>2453</v>
      </c>
    </row>
    <row r="1258" spans="1:5" x14ac:dyDescent="0.4">
      <c r="A1258" t="s">
        <v>1193</v>
      </c>
      <c r="B1258">
        <v>17</v>
      </c>
      <c r="C1258" t="s">
        <v>1676</v>
      </c>
      <c r="D1258" t="s">
        <v>1711</v>
      </c>
      <c r="E1258" t="s">
        <v>1678</v>
      </c>
    </row>
    <row r="1259" spans="1:5" x14ac:dyDescent="0.4">
      <c r="A1259" t="s">
        <v>2454</v>
      </c>
    </row>
    <row r="1260" spans="1:5" x14ac:dyDescent="0.4">
      <c r="A1260" t="s">
        <v>2455</v>
      </c>
    </row>
    <row r="1261" spans="1:5" x14ac:dyDescent="0.4">
      <c r="A1261" t="s">
        <v>1197</v>
      </c>
      <c r="B1261">
        <v>20</v>
      </c>
      <c r="C1261" t="s">
        <v>1676</v>
      </c>
      <c r="D1261" t="s">
        <v>1864</v>
      </c>
      <c r="E1261" t="s">
        <v>1678</v>
      </c>
    </row>
    <row r="1262" spans="1:5" x14ac:dyDescent="0.4">
      <c r="A1262" t="s">
        <v>2456</v>
      </c>
    </row>
    <row r="1263" spans="1:5" x14ac:dyDescent="0.4">
      <c r="A1263" t="s">
        <v>1199</v>
      </c>
      <c r="B1263">
        <v>5</v>
      </c>
      <c r="C1263" t="s">
        <v>1676</v>
      </c>
      <c r="D1263" t="s">
        <v>1806</v>
      </c>
      <c r="E1263" t="s">
        <v>1678</v>
      </c>
    </row>
    <row r="1264" spans="1:5" x14ac:dyDescent="0.4">
      <c r="A1264" t="s">
        <v>1199</v>
      </c>
      <c r="B1264">
        <v>19</v>
      </c>
      <c r="C1264" t="s">
        <v>1676</v>
      </c>
      <c r="D1264" t="s">
        <v>1734</v>
      </c>
      <c r="E1264" t="s">
        <v>1678</v>
      </c>
    </row>
    <row r="1265" spans="1:5" x14ac:dyDescent="0.4">
      <c r="A1265" t="s">
        <v>2457</v>
      </c>
    </row>
    <row r="1266" spans="1:5" x14ac:dyDescent="0.4">
      <c r="A1266" t="s">
        <v>2458</v>
      </c>
    </row>
    <row r="1267" spans="1:5" x14ac:dyDescent="0.4">
      <c r="A1267" t="s">
        <v>1203</v>
      </c>
      <c r="B1267">
        <v>10</v>
      </c>
      <c r="C1267" t="s">
        <v>1676</v>
      </c>
      <c r="D1267" t="s">
        <v>1945</v>
      </c>
      <c r="E1267" t="s">
        <v>1678</v>
      </c>
    </row>
    <row r="1268" spans="1:5" x14ac:dyDescent="0.4">
      <c r="A1268" t="s">
        <v>1203</v>
      </c>
      <c r="B1268">
        <v>11</v>
      </c>
      <c r="C1268" t="s">
        <v>1676</v>
      </c>
      <c r="D1268" t="s">
        <v>1821</v>
      </c>
      <c r="E1268" t="s">
        <v>1678</v>
      </c>
    </row>
    <row r="1269" spans="1:5" x14ac:dyDescent="0.4">
      <c r="A1269" t="s">
        <v>2459</v>
      </c>
    </row>
    <row r="1270" spans="1:5" x14ac:dyDescent="0.4">
      <c r="A1270" t="s">
        <v>1205</v>
      </c>
      <c r="B1270">
        <v>3</v>
      </c>
      <c r="C1270" t="s">
        <v>1676</v>
      </c>
      <c r="D1270" t="s">
        <v>1705</v>
      </c>
      <c r="E1270" t="s">
        <v>1678</v>
      </c>
    </row>
    <row r="1271" spans="1:5" x14ac:dyDescent="0.4">
      <c r="A1271" t="s">
        <v>1205</v>
      </c>
      <c r="B1271">
        <v>6</v>
      </c>
      <c r="C1271" t="s">
        <v>1676</v>
      </c>
      <c r="D1271" t="s">
        <v>1699</v>
      </c>
      <c r="E1271" t="s">
        <v>1678</v>
      </c>
    </row>
    <row r="1272" spans="1:5" x14ac:dyDescent="0.4">
      <c r="A1272" t="s">
        <v>1205</v>
      </c>
      <c r="B1272">
        <v>14</v>
      </c>
      <c r="C1272" t="s">
        <v>1676</v>
      </c>
      <c r="D1272" t="s">
        <v>1991</v>
      </c>
      <c r="E1272" t="s">
        <v>1678</v>
      </c>
    </row>
    <row r="1273" spans="1:5" x14ac:dyDescent="0.4">
      <c r="A1273" t="s">
        <v>2460</v>
      </c>
    </row>
    <row r="1274" spans="1:5" x14ac:dyDescent="0.4">
      <c r="A1274" t="s">
        <v>1207</v>
      </c>
      <c r="B1274">
        <v>10</v>
      </c>
      <c r="C1274" t="s">
        <v>1676</v>
      </c>
      <c r="D1274" t="s">
        <v>1691</v>
      </c>
      <c r="E1274" t="s">
        <v>1678</v>
      </c>
    </row>
    <row r="1275" spans="1:5" x14ac:dyDescent="0.4">
      <c r="A1275" t="s">
        <v>1207</v>
      </c>
      <c r="B1275">
        <v>13</v>
      </c>
      <c r="C1275" t="s">
        <v>1676</v>
      </c>
      <c r="D1275" t="s">
        <v>1922</v>
      </c>
      <c r="E1275" t="s">
        <v>1678</v>
      </c>
    </row>
    <row r="1276" spans="1:5" x14ac:dyDescent="0.4">
      <c r="A1276" t="s">
        <v>1207</v>
      </c>
      <c r="B1276">
        <v>14</v>
      </c>
      <c r="C1276" t="s">
        <v>1676</v>
      </c>
      <c r="D1276" t="s">
        <v>1705</v>
      </c>
      <c r="E1276" t="s">
        <v>1678</v>
      </c>
    </row>
    <row r="1277" spans="1:5" x14ac:dyDescent="0.4">
      <c r="A1277" t="s">
        <v>1207</v>
      </c>
      <c r="B1277">
        <v>17</v>
      </c>
      <c r="C1277" t="s">
        <v>1676</v>
      </c>
      <c r="D1277" t="s">
        <v>1696</v>
      </c>
      <c r="E1277" t="s">
        <v>1678</v>
      </c>
    </row>
    <row r="1278" spans="1:5" x14ac:dyDescent="0.4">
      <c r="A1278" t="s">
        <v>2461</v>
      </c>
    </row>
    <row r="1279" spans="1:5" x14ac:dyDescent="0.4">
      <c r="A1279" t="s">
        <v>1209</v>
      </c>
      <c r="B1279">
        <v>4</v>
      </c>
      <c r="C1279" t="s">
        <v>1676</v>
      </c>
      <c r="D1279" t="s">
        <v>1864</v>
      </c>
      <c r="E1279" t="s">
        <v>1678</v>
      </c>
    </row>
    <row r="1280" spans="1:5" x14ac:dyDescent="0.4">
      <c r="A1280" t="s">
        <v>2462</v>
      </c>
    </row>
    <row r="1281" spans="1:5" x14ac:dyDescent="0.4">
      <c r="A1281" t="s">
        <v>2463</v>
      </c>
    </row>
    <row r="1282" spans="1:5" x14ac:dyDescent="0.4">
      <c r="A1282" t="s">
        <v>1213</v>
      </c>
      <c r="B1282">
        <v>11</v>
      </c>
      <c r="C1282" t="s">
        <v>1676</v>
      </c>
      <c r="D1282" t="s">
        <v>1704</v>
      </c>
      <c r="E1282" t="s">
        <v>1678</v>
      </c>
    </row>
    <row r="1283" spans="1:5" x14ac:dyDescent="0.4">
      <c r="A1283" t="s">
        <v>2464</v>
      </c>
    </row>
    <row r="1284" spans="1:5" x14ac:dyDescent="0.4">
      <c r="A1284" t="s">
        <v>2465</v>
      </c>
    </row>
    <row r="1285" spans="1:5" x14ac:dyDescent="0.4">
      <c r="A1285" t="s">
        <v>2466</v>
      </c>
    </row>
    <row r="1286" spans="1:5" x14ac:dyDescent="0.4">
      <c r="A1286" t="s">
        <v>2467</v>
      </c>
    </row>
    <row r="1287" spans="1:5" x14ac:dyDescent="0.4">
      <c r="A1287" t="s">
        <v>1221</v>
      </c>
      <c r="B1287">
        <v>18</v>
      </c>
      <c r="C1287" t="s">
        <v>1676</v>
      </c>
      <c r="D1287" t="s">
        <v>1696</v>
      </c>
      <c r="E1287" t="s">
        <v>1678</v>
      </c>
    </row>
    <row r="1288" spans="1:5" x14ac:dyDescent="0.4">
      <c r="A1288" t="s">
        <v>2468</v>
      </c>
    </row>
    <row r="1289" spans="1:5" x14ac:dyDescent="0.4">
      <c r="A1289" t="s">
        <v>1223</v>
      </c>
      <c r="B1289">
        <v>21</v>
      </c>
      <c r="C1289" t="s">
        <v>1676</v>
      </c>
      <c r="D1289" t="s">
        <v>1962</v>
      </c>
      <c r="E1289" t="s">
        <v>1678</v>
      </c>
    </row>
    <row r="1290" spans="1:5" x14ac:dyDescent="0.4">
      <c r="A1290" t="s">
        <v>2469</v>
      </c>
    </row>
    <row r="1291" spans="1:5" x14ac:dyDescent="0.4">
      <c r="A1291" t="s">
        <v>1225</v>
      </c>
      <c r="B1291">
        <v>7</v>
      </c>
      <c r="C1291" t="s">
        <v>1676</v>
      </c>
      <c r="D1291" t="s">
        <v>1749</v>
      </c>
      <c r="E1291" t="s">
        <v>1678</v>
      </c>
    </row>
    <row r="1292" spans="1:5" x14ac:dyDescent="0.4">
      <c r="A1292" t="s">
        <v>2470</v>
      </c>
    </row>
    <row r="1293" spans="1:5" x14ac:dyDescent="0.4">
      <c r="A1293" t="s">
        <v>1227</v>
      </c>
      <c r="B1293">
        <v>3</v>
      </c>
      <c r="C1293" t="s">
        <v>1676</v>
      </c>
      <c r="D1293" t="s">
        <v>2081</v>
      </c>
      <c r="E1293" t="s">
        <v>1678</v>
      </c>
    </row>
    <row r="1294" spans="1:5" x14ac:dyDescent="0.4">
      <c r="A1294" t="s">
        <v>1227</v>
      </c>
      <c r="B1294">
        <v>4</v>
      </c>
      <c r="C1294" t="s">
        <v>1676</v>
      </c>
      <c r="D1294" t="s">
        <v>2007</v>
      </c>
      <c r="E1294" t="s">
        <v>1678</v>
      </c>
    </row>
    <row r="1295" spans="1:5" x14ac:dyDescent="0.4">
      <c r="A1295" t="s">
        <v>1227</v>
      </c>
      <c r="B1295">
        <v>9</v>
      </c>
      <c r="C1295" t="s">
        <v>1676</v>
      </c>
      <c r="D1295" t="s">
        <v>2141</v>
      </c>
      <c r="E1295" t="s">
        <v>1678</v>
      </c>
    </row>
    <row r="1296" spans="1:5" x14ac:dyDescent="0.4">
      <c r="A1296" t="s">
        <v>2471</v>
      </c>
    </row>
    <row r="1297" spans="1:5" x14ac:dyDescent="0.4">
      <c r="A1297" t="s">
        <v>2472</v>
      </c>
    </row>
    <row r="1298" spans="1:5" x14ac:dyDescent="0.4">
      <c r="A1298" t="s">
        <v>1231</v>
      </c>
      <c r="B1298">
        <v>11</v>
      </c>
      <c r="C1298" t="s">
        <v>1676</v>
      </c>
      <c r="D1298" t="s">
        <v>1689</v>
      </c>
      <c r="E1298" t="s">
        <v>1678</v>
      </c>
    </row>
    <row r="1299" spans="1:5" x14ac:dyDescent="0.4">
      <c r="A1299" t="s">
        <v>2473</v>
      </c>
    </row>
    <row r="1300" spans="1:5" x14ac:dyDescent="0.4">
      <c r="A1300" t="s">
        <v>1233</v>
      </c>
      <c r="B1300">
        <v>2</v>
      </c>
      <c r="C1300" t="s">
        <v>1676</v>
      </c>
      <c r="D1300" t="s">
        <v>1696</v>
      </c>
      <c r="E1300" t="s">
        <v>1678</v>
      </c>
    </row>
    <row r="1301" spans="1:5" x14ac:dyDescent="0.4">
      <c r="A1301" t="s">
        <v>1233</v>
      </c>
      <c r="B1301">
        <v>11</v>
      </c>
      <c r="C1301" t="s">
        <v>1676</v>
      </c>
      <c r="D1301" t="s">
        <v>2474</v>
      </c>
      <c r="E1301" t="s">
        <v>1678</v>
      </c>
    </row>
    <row r="1302" spans="1:5" x14ac:dyDescent="0.4">
      <c r="A1302" t="s">
        <v>2475</v>
      </c>
    </row>
    <row r="1303" spans="1:5" x14ac:dyDescent="0.4">
      <c r="A1303" t="s">
        <v>1235</v>
      </c>
      <c r="B1303">
        <v>11</v>
      </c>
      <c r="C1303" t="s">
        <v>1676</v>
      </c>
      <c r="D1303" t="s">
        <v>1710</v>
      </c>
      <c r="E1303" t="s">
        <v>1678</v>
      </c>
    </row>
    <row r="1304" spans="1:5" x14ac:dyDescent="0.4">
      <c r="A1304" t="s">
        <v>2476</v>
      </c>
    </row>
    <row r="1305" spans="1:5" x14ac:dyDescent="0.4">
      <c r="A1305" t="s">
        <v>2477</v>
      </c>
    </row>
    <row r="1306" spans="1:5" x14ac:dyDescent="0.4">
      <c r="A1306" t="s">
        <v>2478</v>
      </c>
    </row>
    <row r="1307" spans="1:5" x14ac:dyDescent="0.4">
      <c r="A1307" t="s">
        <v>1241</v>
      </c>
      <c r="B1307">
        <v>2</v>
      </c>
      <c r="C1307" t="s">
        <v>1676</v>
      </c>
      <c r="D1307" t="s">
        <v>1726</v>
      </c>
      <c r="E1307" t="s">
        <v>1678</v>
      </c>
    </row>
    <row r="1308" spans="1:5" x14ac:dyDescent="0.4">
      <c r="A1308" t="s">
        <v>1241</v>
      </c>
      <c r="B1308">
        <v>7</v>
      </c>
      <c r="C1308" t="s">
        <v>1676</v>
      </c>
      <c r="D1308" t="s">
        <v>1749</v>
      </c>
      <c r="E1308" t="s">
        <v>1678</v>
      </c>
    </row>
    <row r="1309" spans="1:5" x14ac:dyDescent="0.4">
      <c r="A1309" t="s">
        <v>1241</v>
      </c>
      <c r="B1309">
        <v>11</v>
      </c>
      <c r="C1309" t="s">
        <v>1676</v>
      </c>
      <c r="D1309" t="s">
        <v>1737</v>
      </c>
      <c r="E1309" t="s">
        <v>1678</v>
      </c>
    </row>
    <row r="1310" spans="1:5" x14ac:dyDescent="0.4">
      <c r="A1310" t="s">
        <v>2479</v>
      </c>
    </row>
    <row r="1311" spans="1:5" x14ac:dyDescent="0.4">
      <c r="A1311" t="s">
        <v>1243</v>
      </c>
      <c r="B1311">
        <v>9</v>
      </c>
      <c r="C1311" t="s">
        <v>1676</v>
      </c>
      <c r="D1311" t="s">
        <v>1690</v>
      </c>
      <c r="E1311" t="s">
        <v>1678</v>
      </c>
    </row>
    <row r="1312" spans="1:5" x14ac:dyDescent="0.4">
      <c r="A1312" t="s">
        <v>1243</v>
      </c>
      <c r="B1312">
        <v>12</v>
      </c>
      <c r="C1312" t="s">
        <v>1676</v>
      </c>
      <c r="D1312" t="s">
        <v>1696</v>
      </c>
      <c r="E1312" t="s">
        <v>1678</v>
      </c>
    </row>
    <row r="1313" spans="1:5" x14ac:dyDescent="0.4">
      <c r="A1313" t="s">
        <v>1243</v>
      </c>
      <c r="B1313">
        <v>20</v>
      </c>
      <c r="C1313" t="s">
        <v>1676</v>
      </c>
      <c r="D1313" t="s">
        <v>1744</v>
      </c>
      <c r="E1313" t="s">
        <v>1678</v>
      </c>
    </row>
    <row r="1314" spans="1:5" x14ac:dyDescent="0.4">
      <c r="A1314" t="s">
        <v>2480</v>
      </c>
    </row>
    <row r="1315" spans="1:5" x14ac:dyDescent="0.4">
      <c r="A1315" t="s">
        <v>1245</v>
      </c>
      <c r="B1315">
        <v>3</v>
      </c>
      <c r="C1315" t="s">
        <v>1676</v>
      </c>
      <c r="D1315" t="s">
        <v>1739</v>
      </c>
      <c r="E1315" t="s">
        <v>1678</v>
      </c>
    </row>
    <row r="1316" spans="1:5" x14ac:dyDescent="0.4">
      <c r="A1316" t="s">
        <v>2481</v>
      </c>
    </row>
    <row r="1317" spans="1:5" x14ac:dyDescent="0.4">
      <c r="A1317" t="s">
        <v>1247</v>
      </c>
      <c r="B1317">
        <v>19</v>
      </c>
      <c r="C1317" t="s">
        <v>1676</v>
      </c>
      <c r="D1317" t="s">
        <v>1995</v>
      </c>
      <c r="E1317" t="s">
        <v>1678</v>
      </c>
    </row>
    <row r="1318" spans="1:5" x14ac:dyDescent="0.4">
      <c r="A1318" t="s">
        <v>2482</v>
      </c>
    </row>
    <row r="1319" spans="1:5" x14ac:dyDescent="0.4">
      <c r="A1319" t="s">
        <v>1249</v>
      </c>
      <c r="B1319">
        <v>2</v>
      </c>
      <c r="C1319" t="s">
        <v>1676</v>
      </c>
      <c r="D1319" t="s">
        <v>1742</v>
      </c>
      <c r="E1319" t="s">
        <v>1678</v>
      </c>
    </row>
    <row r="1320" spans="1:5" x14ac:dyDescent="0.4">
      <c r="A1320" t="s">
        <v>1249</v>
      </c>
      <c r="B1320">
        <v>9</v>
      </c>
      <c r="C1320" t="s">
        <v>1676</v>
      </c>
      <c r="D1320" t="s">
        <v>1933</v>
      </c>
      <c r="E1320" t="s">
        <v>1678</v>
      </c>
    </row>
    <row r="1321" spans="1:5" x14ac:dyDescent="0.4">
      <c r="A1321" t="s">
        <v>1249</v>
      </c>
      <c r="B1321">
        <v>17</v>
      </c>
      <c r="C1321" t="s">
        <v>1676</v>
      </c>
      <c r="D1321" t="s">
        <v>1693</v>
      </c>
      <c r="E1321" t="s">
        <v>1678</v>
      </c>
    </row>
    <row r="1322" spans="1:5" x14ac:dyDescent="0.4">
      <c r="A1322" t="s">
        <v>1249</v>
      </c>
      <c r="B1322">
        <v>20</v>
      </c>
      <c r="C1322" t="s">
        <v>1676</v>
      </c>
      <c r="D1322" t="s">
        <v>1806</v>
      </c>
      <c r="E1322" t="s">
        <v>1678</v>
      </c>
    </row>
    <row r="1323" spans="1:5" x14ac:dyDescent="0.4">
      <c r="A1323" t="s">
        <v>2483</v>
      </c>
    </row>
    <row r="1324" spans="1:5" x14ac:dyDescent="0.4">
      <c r="A1324" t="s">
        <v>1251</v>
      </c>
      <c r="B1324">
        <v>19</v>
      </c>
      <c r="C1324" t="s">
        <v>1676</v>
      </c>
      <c r="D1324" t="s">
        <v>1689</v>
      </c>
      <c r="E1324" t="s">
        <v>1678</v>
      </c>
    </row>
    <row r="1325" spans="1:5" x14ac:dyDescent="0.4">
      <c r="A1325" t="s">
        <v>2484</v>
      </c>
    </row>
    <row r="1326" spans="1:5" x14ac:dyDescent="0.4">
      <c r="A1326" t="s">
        <v>1253</v>
      </c>
      <c r="B1326">
        <v>11</v>
      </c>
      <c r="C1326" t="s">
        <v>1676</v>
      </c>
      <c r="D1326" t="s">
        <v>1864</v>
      </c>
      <c r="E1326" t="s">
        <v>1678</v>
      </c>
    </row>
    <row r="1327" spans="1:5" x14ac:dyDescent="0.4">
      <c r="A1327" t="s">
        <v>1253</v>
      </c>
      <c r="B1327">
        <v>19</v>
      </c>
      <c r="C1327" t="s">
        <v>1676</v>
      </c>
      <c r="D1327" t="s">
        <v>1738</v>
      </c>
      <c r="E1327" t="s">
        <v>1678</v>
      </c>
    </row>
    <row r="1328" spans="1:5" x14ac:dyDescent="0.4">
      <c r="A1328" t="s">
        <v>2485</v>
      </c>
    </row>
    <row r="1329" spans="1:5" x14ac:dyDescent="0.4">
      <c r="A1329" t="s">
        <v>1255</v>
      </c>
      <c r="B1329">
        <v>6</v>
      </c>
      <c r="C1329" t="s">
        <v>1676</v>
      </c>
      <c r="D1329" t="s">
        <v>1744</v>
      </c>
      <c r="E1329" t="s">
        <v>1678</v>
      </c>
    </row>
    <row r="1330" spans="1:5" x14ac:dyDescent="0.4">
      <c r="A1330" t="s">
        <v>2486</v>
      </c>
    </row>
    <row r="1331" spans="1:5" x14ac:dyDescent="0.4">
      <c r="A1331" t="s">
        <v>1257</v>
      </c>
      <c r="B1331">
        <v>1</v>
      </c>
      <c r="C1331" t="s">
        <v>1676</v>
      </c>
      <c r="D1331" t="s">
        <v>1744</v>
      </c>
      <c r="E1331" t="s">
        <v>1678</v>
      </c>
    </row>
    <row r="1332" spans="1:5" x14ac:dyDescent="0.4">
      <c r="A1332" t="s">
        <v>1257</v>
      </c>
      <c r="B1332">
        <v>14</v>
      </c>
      <c r="C1332" t="s">
        <v>1676</v>
      </c>
      <c r="D1332" t="s">
        <v>1905</v>
      </c>
      <c r="E1332" t="s">
        <v>1678</v>
      </c>
    </row>
    <row r="1333" spans="1:5" x14ac:dyDescent="0.4">
      <c r="A1333" t="s">
        <v>2487</v>
      </c>
    </row>
    <row r="1334" spans="1:5" x14ac:dyDescent="0.4">
      <c r="A1334" t="s">
        <v>1259</v>
      </c>
      <c r="B1334">
        <v>11</v>
      </c>
      <c r="C1334" t="s">
        <v>1676</v>
      </c>
      <c r="D1334" t="s">
        <v>1708</v>
      </c>
      <c r="E1334" t="s">
        <v>1678</v>
      </c>
    </row>
    <row r="1335" spans="1:5" x14ac:dyDescent="0.4">
      <c r="A1335" t="s">
        <v>1259</v>
      </c>
      <c r="B1335">
        <v>15</v>
      </c>
      <c r="C1335" t="s">
        <v>1676</v>
      </c>
      <c r="D1335" t="s">
        <v>1699</v>
      </c>
      <c r="E1335" t="s">
        <v>1678</v>
      </c>
    </row>
    <row r="1336" spans="1:5" x14ac:dyDescent="0.4">
      <c r="A1336" t="s">
        <v>1259</v>
      </c>
      <c r="B1336">
        <v>19</v>
      </c>
      <c r="C1336" t="s">
        <v>1676</v>
      </c>
      <c r="D1336" t="s">
        <v>1806</v>
      </c>
      <c r="E1336" t="s">
        <v>1678</v>
      </c>
    </row>
    <row r="1337" spans="1:5" x14ac:dyDescent="0.4">
      <c r="A1337" t="s">
        <v>2488</v>
      </c>
    </row>
    <row r="1338" spans="1:5" x14ac:dyDescent="0.4">
      <c r="A1338" t="s">
        <v>1261</v>
      </c>
      <c r="B1338">
        <v>15</v>
      </c>
      <c r="C1338" t="s">
        <v>1676</v>
      </c>
      <c r="D1338" t="s">
        <v>2081</v>
      </c>
      <c r="E1338" t="s">
        <v>1678</v>
      </c>
    </row>
    <row r="1339" spans="1:5" x14ac:dyDescent="0.4">
      <c r="A1339" t="s">
        <v>2489</v>
      </c>
    </row>
    <row r="1340" spans="1:5" x14ac:dyDescent="0.4">
      <c r="A1340" t="s">
        <v>1263</v>
      </c>
      <c r="B1340">
        <v>9</v>
      </c>
      <c r="C1340" t="s">
        <v>1676</v>
      </c>
      <c r="D1340" t="s">
        <v>1709</v>
      </c>
      <c r="E1340" t="s">
        <v>1678</v>
      </c>
    </row>
    <row r="1341" spans="1:5" x14ac:dyDescent="0.4">
      <c r="A1341" t="s">
        <v>2490</v>
      </c>
    </row>
    <row r="1342" spans="1:5" x14ac:dyDescent="0.4">
      <c r="A1342" t="s">
        <v>1265</v>
      </c>
      <c r="B1342">
        <v>13</v>
      </c>
      <c r="C1342" t="s">
        <v>1676</v>
      </c>
      <c r="D1342" t="s">
        <v>1734</v>
      </c>
      <c r="E1342" t="s">
        <v>1678</v>
      </c>
    </row>
    <row r="1343" spans="1:5" x14ac:dyDescent="0.4">
      <c r="A1343" t="s">
        <v>2491</v>
      </c>
    </row>
    <row r="1344" spans="1:5" x14ac:dyDescent="0.4">
      <c r="A1344" t="s">
        <v>2492</v>
      </c>
    </row>
    <row r="1345" spans="1:5" x14ac:dyDescent="0.4">
      <c r="A1345" t="s">
        <v>2493</v>
      </c>
    </row>
    <row r="1346" spans="1:5" x14ac:dyDescent="0.4">
      <c r="A1346" t="s">
        <v>1271</v>
      </c>
      <c r="B1346">
        <v>2</v>
      </c>
      <c r="C1346" t="s">
        <v>1676</v>
      </c>
      <c r="D1346" t="s">
        <v>1703</v>
      </c>
      <c r="E1346" t="s">
        <v>1678</v>
      </c>
    </row>
    <row r="1347" spans="1:5" x14ac:dyDescent="0.4">
      <c r="A1347" t="s">
        <v>1271</v>
      </c>
      <c r="B1347">
        <v>6</v>
      </c>
      <c r="C1347" t="s">
        <v>1676</v>
      </c>
      <c r="D1347" t="s">
        <v>1699</v>
      </c>
      <c r="E1347" t="s">
        <v>1678</v>
      </c>
    </row>
    <row r="1348" spans="1:5" x14ac:dyDescent="0.4">
      <c r="A1348" t="s">
        <v>1271</v>
      </c>
      <c r="B1348">
        <v>15</v>
      </c>
      <c r="C1348" t="s">
        <v>1676</v>
      </c>
      <c r="D1348" t="s">
        <v>1703</v>
      </c>
      <c r="E1348" t="s">
        <v>1678</v>
      </c>
    </row>
    <row r="1349" spans="1:5" x14ac:dyDescent="0.4">
      <c r="A1349" t="s">
        <v>1271</v>
      </c>
      <c r="B1349">
        <v>19</v>
      </c>
      <c r="C1349" t="s">
        <v>1676</v>
      </c>
      <c r="D1349" t="s">
        <v>1738</v>
      </c>
      <c r="E1349" t="s">
        <v>1678</v>
      </c>
    </row>
    <row r="1350" spans="1:5" x14ac:dyDescent="0.4">
      <c r="A1350" t="s">
        <v>2494</v>
      </c>
    </row>
    <row r="1351" spans="1:5" x14ac:dyDescent="0.4">
      <c r="A1351" t="s">
        <v>1273</v>
      </c>
      <c r="B1351">
        <v>13</v>
      </c>
      <c r="C1351" t="s">
        <v>1676</v>
      </c>
      <c r="D1351" t="s">
        <v>1698</v>
      </c>
      <c r="E1351" t="s">
        <v>1678</v>
      </c>
    </row>
    <row r="1352" spans="1:5" x14ac:dyDescent="0.4">
      <c r="A1352" t="s">
        <v>1273</v>
      </c>
      <c r="B1352">
        <v>18</v>
      </c>
      <c r="C1352" t="s">
        <v>1676</v>
      </c>
      <c r="D1352" t="s">
        <v>1709</v>
      </c>
      <c r="E1352" t="s">
        <v>1678</v>
      </c>
    </row>
    <row r="1353" spans="1:5" x14ac:dyDescent="0.4">
      <c r="A1353" t="s">
        <v>2495</v>
      </c>
    </row>
    <row r="1354" spans="1:5" x14ac:dyDescent="0.4">
      <c r="A1354" t="s">
        <v>1275</v>
      </c>
      <c r="B1354">
        <v>6</v>
      </c>
      <c r="C1354" t="s">
        <v>1676</v>
      </c>
      <c r="D1354" t="s">
        <v>2102</v>
      </c>
      <c r="E1354" t="s">
        <v>1678</v>
      </c>
    </row>
    <row r="1355" spans="1:5" x14ac:dyDescent="0.4">
      <c r="A1355" t="s">
        <v>2496</v>
      </c>
    </row>
    <row r="1356" spans="1:5" x14ac:dyDescent="0.4">
      <c r="A1356" t="s">
        <v>1277</v>
      </c>
      <c r="B1356">
        <v>11</v>
      </c>
      <c r="C1356" t="s">
        <v>1676</v>
      </c>
      <c r="D1356" t="s">
        <v>2175</v>
      </c>
      <c r="E1356" t="s">
        <v>1678</v>
      </c>
    </row>
    <row r="1357" spans="1:5" x14ac:dyDescent="0.4">
      <c r="A1357" t="s">
        <v>2497</v>
      </c>
    </row>
    <row r="1358" spans="1:5" x14ac:dyDescent="0.4">
      <c r="A1358" t="s">
        <v>2498</v>
      </c>
    </row>
    <row r="1359" spans="1:5" x14ac:dyDescent="0.4">
      <c r="A1359" t="s">
        <v>1281</v>
      </c>
      <c r="B1359">
        <v>7</v>
      </c>
      <c r="C1359" t="s">
        <v>1676</v>
      </c>
      <c r="D1359" t="s">
        <v>2079</v>
      </c>
      <c r="E1359" t="s">
        <v>1678</v>
      </c>
    </row>
    <row r="1360" spans="1:5" x14ac:dyDescent="0.4">
      <c r="A1360" t="s">
        <v>1281</v>
      </c>
      <c r="B1360">
        <v>13</v>
      </c>
      <c r="C1360" t="s">
        <v>1676</v>
      </c>
      <c r="D1360" t="s">
        <v>1739</v>
      </c>
      <c r="E1360" t="s">
        <v>1678</v>
      </c>
    </row>
    <row r="1361" spans="1:5" x14ac:dyDescent="0.4">
      <c r="A1361" t="s">
        <v>2499</v>
      </c>
    </row>
    <row r="1362" spans="1:5" x14ac:dyDescent="0.4">
      <c r="A1362" t="s">
        <v>1283</v>
      </c>
      <c r="B1362">
        <v>3</v>
      </c>
      <c r="C1362" t="s">
        <v>1676</v>
      </c>
      <c r="D1362" t="s">
        <v>2248</v>
      </c>
      <c r="E1362" t="s">
        <v>1678</v>
      </c>
    </row>
    <row r="1363" spans="1:5" x14ac:dyDescent="0.4">
      <c r="A1363" t="s">
        <v>1283</v>
      </c>
      <c r="B1363">
        <v>21</v>
      </c>
      <c r="C1363" t="s">
        <v>1676</v>
      </c>
      <c r="D1363" t="s">
        <v>1755</v>
      </c>
      <c r="E1363" t="s">
        <v>1678</v>
      </c>
    </row>
    <row r="1364" spans="1:5" x14ac:dyDescent="0.4">
      <c r="A1364" t="s">
        <v>2500</v>
      </c>
    </row>
    <row r="1365" spans="1:5" x14ac:dyDescent="0.4">
      <c r="A1365" t="s">
        <v>2501</v>
      </c>
    </row>
    <row r="1366" spans="1:5" x14ac:dyDescent="0.4">
      <c r="A1366" t="s">
        <v>1287</v>
      </c>
      <c r="B1366">
        <v>15</v>
      </c>
      <c r="C1366" t="s">
        <v>1676</v>
      </c>
      <c r="D1366" t="s">
        <v>2100</v>
      </c>
      <c r="E1366" t="s">
        <v>1678</v>
      </c>
    </row>
    <row r="1367" spans="1:5" x14ac:dyDescent="0.4">
      <c r="A1367" t="s">
        <v>2502</v>
      </c>
    </row>
    <row r="1368" spans="1:5" x14ac:dyDescent="0.4">
      <c r="A1368" t="s">
        <v>1289</v>
      </c>
      <c r="B1368">
        <v>11</v>
      </c>
      <c r="C1368" t="s">
        <v>1676</v>
      </c>
      <c r="D1368" t="s">
        <v>2503</v>
      </c>
      <c r="E1368" t="s">
        <v>1678</v>
      </c>
    </row>
    <row r="1369" spans="1:5" x14ac:dyDescent="0.4">
      <c r="A1369" t="s">
        <v>2504</v>
      </c>
    </row>
    <row r="1370" spans="1:5" x14ac:dyDescent="0.4">
      <c r="A1370" t="s">
        <v>1291</v>
      </c>
      <c r="B1370">
        <v>7</v>
      </c>
      <c r="C1370" t="s">
        <v>1676</v>
      </c>
      <c r="D1370" t="s">
        <v>1679</v>
      </c>
      <c r="E1370" t="s">
        <v>1678</v>
      </c>
    </row>
    <row r="1371" spans="1:5" x14ac:dyDescent="0.4">
      <c r="A1371" t="s">
        <v>1291</v>
      </c>
      <c r="B1371">
        <v>12</v>
      </c>
      <c r="C1371" t="s">
        <v>1676</v>
      </c>
      <c r="D1371" t="s">
        <v>1897</v>
      </c>
      <c r="E1371" t="s">
        <v>1678</v>
      </c>
    </row>
    <row r="1372" spans="1:5" x14ac:dyDescent="0.4">
      <c r="A1372" t="s">
        <v>2505</v>
      </c>
    </row>
    <row r="1373" spans="1:5" x14ac:dyDescent="0.4">
      <c r="A1373" t="s">
        <v>2506</v>
      </c>
    </row>
    <row r="1374" spans="1:5" x14ac:dyDescent="0.4">
      <c r="A1374" t="s">
        <v>1295</v>
      </c>
      <c r="B1374">
        <v>12</v>
      </c>
      <c r="C1374" t="s">
        <v>1676</v>
      </c>
      <c r="D1374" t="s">
        <v>1755</v>
      </c>
      <c r="E1374" t="s">
        <v>1678</v>
      </c>
    </row>
    <row r="1375" spans="1:5" x14ac:dyDescent="0.4">
      <c r="A1375" t="s">
        <v>2507</v>
      </c>
    </row>
    <row r="1376" spans="1:5" x14ac:dyDescent="0.4">
      <c r="A1376" t="s">
        <v>2508</v>
      </c>
    </row>
    <row r="1377" spans="1:5" x14ac:dyDescent="0.4">
      <c r="A1377" t="s">
        <v>1299</v>
      </c>
      <c r="B1377">
        <v>17</v>
      </c>
      <c r="C1377" t="s">
        <v>1676</v>
      </c>
      <c r="D1377" t="s">
        <v>2100</v>
      </c>
      <c r="E1377" t="s">
        <v>1678</v>
      </c>
    </row>
    <row r="1378" spans="1:5" x14ac:dyDescent="0.4">
      <c r="A1378" t="s">
        <v>2509</v>
      </c>
    </row>
    <row r="1379" spans="1:5" x14ac:dyDescent="0.4">
      <c r="A1379" t="s">
        <v>1301</v>
      </c>
      <c r="B1379">
        <v>16</v>
      </c>
      <c r="C1379" t="s">
        <v>1676</v>
      </c>
      <c r="D1379" t="s">
        <v>1719</v>
      </c>
      <c r="E1379" t="s">
        <v>1678</v>
      </c>
    </row>
    <row r="1380" spans="1:5" x14ac:dyDescent="0.4">
      <c r="A1380" t="s">
        <v>2510</v>
      </c>
    </row>
    <row r="1381" spans="1:5" x14ac:dyDescent="0.4">
      <c r="A1381" t="s">
        <v>1303</v>
      </c>
      <c r="B1381">
        <v>3</v>
      </c>
      <c r="C1381" t="s">
        <v>1676</v>
      </c>
      <c r="D1381" t="s">
        <v>1710</v>
      </c>
      <c r="E1381" t="s">
        <v>1678</v>
      </c>
    </row>
    <row r="1382" spans="1:5" x14ac:dyDescent="0.4">
      <c r="A1382" t="s">
        <v>1303</v>
      </c>
      <c r="B1382">
        <v>16</v>
      </c>
      <c r="C1382" t="s">
        <v>1676</v>
      </c>
      <c r="D1382" t="s">
        <v>1689</v>
      </c>
      <c r="E1382" t="s">
        <v>1678</v>
      </c>
    </row>
    <row r="1383" spans="1:5" x14ac:dyDescent="0.4">
      <c r="A1383" t="s">
        <v>2511</v>
      </c>
    </row>
    <row r="1384" spans="1:5" x14ac:dyDescent="0.4">
      <c r="A1384" t="s">
        <v>2512</v>
      </c>
    </row>
    <row r="1385" spans="1:5" x14ac:dyDescent="0.4">
      <c r="A1385" t="s">
        <v>2513</v>
      </c>
    </row>
    <row r="1386" spans="1:5" x14ac:dyDescent="0.4">
      <c r="A1386" t="s">
        <v>1309</v>
      </c>
      <c r="B1386">
        <v>18</v>
      </c>
      <c r="C1386" t="s">
        <v>1676</v>
      </c>
      <c r="D1386" t="s">
        <v>1706</v>
      </c>
      <c r="E1386" t="s">
        <v>1678</v>
      </c>
    </row>
    <row r="1387" spans="1:5" x14ac:dyDescent="0.4">
      <c r="A1387" t="s">
        <v>2514</v>
      </c>
    </row>
    <row r="1388" spans="1:5" x14ac:dyDescent="0.4">
      <c r="A1388" t="s">
        <v>1311</v>
      </c>
      <c r="B1388">
        <v>4</v>
      </c>
      <c r="C1388" t="s">
        <v>1676</v>
      </c>
      <c r="D1388" t="s">
        <v>1677</v>
      </c>
      <c r="E1388" t="s">
        <v>1678</v>
      </c>
    </row>
    <row r="1389" spans="1:5" x14ac:dyDescent="0.4">
      <c r="A1389" t="s">
        <v>2515</v>
      </c>
    </row>
    <row r="1390" spans="1:5" x14ac:dyDescent="0.4">
      <c r="A1390" t="s">
        <v>2516</v>
      </c>
    </row>
    <row r="1391" spans="1:5" x14ac:dyDescent="0.4">
      <c r="A1391" t="s">
        <v>1315</v>
      </c>
      <c r="B1391">
        <v>13</v>
      </c>
      <c r="C1391" t="s">
        <v>1676</v>
      </c>
      <c r="D1391" t="s">
        <v>2102</v>
      </c>
      <c r="E1391" t="s">
        <v>1678</v>
      </c>
    </row>
    <row r="1392" spans="1:5" x14ac:dyDescent="0.4">
      <c r="A1392" t="s">
        <v>1315</v>
      </c>
      <c r="B1392">
        <v>18</v>
      </c>
      <c r="C1392" t="s">
        <v>1676</v>
      </c>
      <c r="D1392" t="s">
        <v>2398</v>
      </c>
      <c r="E1392" t="s">
        <v>1678</v>
      </c>
    </row>
    <row r="1393" spans="1:5" x14ac:dyDescent="0.4">
      <c r="A1393" t="s">
        <v>2517</v>
      </c>
    </row>
    <row r="1394" spans="1:5" x14ac:dyDescent="0.4">
      <c r="A1394" t="s">
        <v>1317</v>
      </c>
      <c r="B1394">
        <v>18</v>
      </c>
      <c r="C1394" t="s">
        <v>1676</v>
      </c>
      <c r="D1394" t="s">
        <v>2081</v>
      </c>
      <c r="E1394" t="s">
        <v>1678</v>
      </c>
    </row>
    <row r="1395" spans="1:5" x14ac:dyDescent="0.4">
      <c r="A1395" t="s">
        <v>2518</v>
      </c>
    </row>
    <row r="1396" spans="1:5" x14ac:dyDescent="0.4">
      <c r="A1396" t="s">
        <v>1319</v>
      </c>
      <c r="B1396">
        <v>10</v>
      </c>
      <c r="C1396" t="s">
        <v>1676</v>
      </c>
      <c r="D1396" t="s">
        <v>1724</v>
      </c>
      <c r="E1396" t="s">
        <v>1678</v>
      </c>
    </row>
    <row r="1397" spans="1:5" x14ac:dyDescent="0.4">
      <c r="A1397" t="s">
        <v>2519</v>
      </c>
    </row>
    <row r="1398" spans="1:5" x14ac:dyDescent="0.4">
      <c r="A1398" t="s">
        <v>1321</v>
      </c>
      <c r="B1398">
        <v>7</v>
      </c>
      <c r="C1398" t="s">
        <v>1676</v>
      </c>
      <c r="D1398" t="s">
        <v>1740</v>
      </c>
      <c r="E1398" t="s">
        <v>1678</v>
      </c>
    </row>
    <row r="1399" spans="1:5" x14ac:dyDescent="0.4">
      <c r="A1399" t="s">
        <v>1321</v>
      </c>
      <c r="B1399">
        <v>19</v>
      </c>
      <c r="C1399" t="s">
        <v>1676</v>
      </c>
      <c r="D1399" t="s">
        <v>2141</v>
      </c>
      <c r="E1399" t="s">
        <v>1678</v>
      </c>
    </row>
    <row r="1400" spans="1:5" x14ac:dyDescent="0.4">
      <c r="A1400" t="s">
        <v>2520</v>
      </c>
    </row>
    <row r="1401" spans="1:5" x14ac:dyDescent="0.4">
      <c r="A1401" t="s">
        <v>1323</v>
      </c>
      <c r="B1401">
        <v>16</v>
      </c>
      <c r="C1401" t="s">
        <v>1676</v>
      </c>
      <c r="D1401" t="s">
        <v>1962</v>
      </c>
      <c r="E1401" t="s">
        <v>1678</v>
      </c>
    </row>
    <row r="1402" spans="1:5" x14ac:dyDescent="0.4">
      <c r="A1402" t="s">
        <v>2521</v>
      </c>
    </row>
    <row r="1403" spans="1:5" x14ac:dyDescent="0.4">
      <c r="A1403" t="s">
        <v>1325</v>
      </c>
      <c r="B1403">
        <v>9</v>
      </c>
      <c r="C1403" t="s">
        <v>1676</v>
      </c>
      <c r="D1403" t="s">
        <v>1707</v>
      </c>
      <c r="E1403" t="s">
        <v>1678</v>
      </c>
    </row>
    <row r="1404" spans="1:5" x14ac:dyDescent="0.4">
      <c r="A1404" t="s">
        <v>1325</v>
      </c>
      <c r="B1404">
        <v>11</v>
      </c>
      <c r="C1404" t="s">
        <v>1676</v>
      </c>
      <c r="D1404" t="s">
        <v>1751</v>
      </c>
      <c r="E1404" t="s">
        <v>1678</v>
      </c>
    </row>
    <row r="1405" spans="1:5" x14ac:dyDescent="0.4">
      <c r="A1405" t="s">
        <v>1325</v>
      </c>
      <c r="B1405">
        <v>12</v>
      </c>
      <c r="C1405" t="s">
        <v>1676</v>
      </c>
      <c r="D1405" t="s">
        <v>1800</v>
      </c>
      <c r="E1405" t="s">
        <v>1678</v>
      </c>
    </row>
    <row r="1406" spans="1:5" x14ac:dyDescent="0.4">
      <c r="A1406" t="s">
        <v>2522</v>
      </c>
    </row>
    <row r="1407" spans="1:5" x14ac:dyDescent="0.4">
      <c r="A1407" t="s">
        <v>2523</v>
      </c>
    </row>
    <row r="1408" spans="1:5" x14ac:dyDescent="0.4">
      <c r="A1408" t="s">
        <v>1329</v>
      </c>
      <c r="B1408">
        <v>17</v>
      </c>
      <c r="C1408" t="s">
        <v>1676</v>
      </c>
      <c r="D1408" t="s">
        <v>2398</v>
      </c>
      <c r="E1408" t="s">
        <v>1678</v>
      </c>
    </row>
    <row r="1409" spans="1:5" x14ac:dyDescent="0.4">
      <c r="A1409" t="s">
        <v>2524</v>
      </c>
    </row>
    <row r="1410" spans="1:5" x14ac:dyDescent="0.4">
      <c r="A1410" t="s">
        <v>2525</v>
      </c>
    </row>
    <row r="1411" spans="1:5" x14ac:dyDescent="0.4">
      <c r="A1411" t="s">
        <v>1333</v>
      </c>
      <c r="B1411">
        <v>4</v>
      </c>
      <c r="C1411" t="s">
        <v>1676</v>
      </c>
      <c r="D1411" t="s">
        <v>1681</v>
      </c>
      <c r="E1411" t="s">
        <v>1678</v>
      </c>
    </row>
    <row r="1412" spans="1:5" x14ac:dyDescent="0.4">
      <c r="A1412" t="s">
        <v>1333</v>
      </c>
      <c r="B1412">
        <v>6</v>
      </c>
      <c r="C1412" t="s">
        <v>1676</v>
      </c>
      <c r="D1412" t="s">
        <v>2178</v>
      </c>
      <c r="E1412" t="s">
        <v>1678</v>
      </c>
    </row>
    <row r="1413" spans="1:5" x14ac:dyDescent="0.4">
      <c r="A1413" t="s">
        <v>1333</v>
      </c>
      <c r="B1413">
        <v>8</v>
      </c>
      <c r="C1413" t="s">
        <v>1676</v>
      </c>
      <c r="D1413" t="s">
        <v>1708</v>
      </c>
      <c r="E1413" t="s">
        <v>1678</v>
      </c>
    </row>
    <row r="1414" spans="1:5" x14ac:dyDescent="0.4">
      <c r="A1414" t="s">
        <v>1333</v>
      </c>
      <c r="B1414">
        <v>12</v>
      </c>
      <c r="C1414" t="s">
        <v>1676</v>
      </c>
      <c r="D1414" t="s">
        <v>1725</v>
      </c>
      <c r="E1414" t="s">
        <v>1678</v>
      </c>
    </row>
    <row r="1415" spans="1:5" x14ac:dyDescent="0.4">
      <c r="A1415" t="s">
        <v>2526</v>
      </c>
    </row>
    <row r="1416" spans="1:5" x14ac:dyDescent="0.4">
      <c r="A1416" t="s">
        <v>1335</v>
      </c>
      <c r="B1416">
        <v>4</v>
      </c>
      <c r="C1416" t="s">
        <v>1676</v>
      </c>
      <c r="D1416" t="s">
        <v>1685</v>
      </c>
      <c r="E1416" t="s">
        <v>1678</v>
      </c>
    </row>
    <row r="1417" spans="1:5" x14ac:dyDescent="0.4">
      <c r="A1417" t="s">
        <v>1335</v>
      </c>
      <c r="B1417">
        <v>11</v>
      </c>
      <c r="C1417" t="s">
        <v>1676</v>
      </c>
      <c r="D1417" t="s">
        <v>1682</v>
      </c>
      <c r="E1417" t="s">
        <v>1678</v>
      </c>
    </row>
    <row r="1418" spans="1:5" x14ac:dyDescent="0.4">
      <c r="A1418" t="s">
        <v>2527</v>
      </c>
    </row>
    <row r="1419" spans="1:5" x14ac:dyDescent="0.4">
      <c r="A1419" t="s">
        <v>1337</v>
      </c>
      <c r="B1419">
        <v>11</v>
      </c>
      <c r="C1419" t="s">
        <v>1676</v>
      </c>
      <c r="D1419" t="s">
        <v>1725</v>
      </c>
      <c r="E1419" t="s">
        <v>1678</v>
      </c>
    </row>
    <row r="1420" spans="1:5" x14ac:dyDescent="0.4">
      <c r="A1420" t="s">
        <v>1337</v>
      </c>
      <c r="B1420">
        <v>16</v>
      </c>
      <c r="C1420" t="s">
        <v>1676</v>
      </c>
      <c r="D1420" t="s">
        <v>1702</v>
      </c>
      <c r="E1420" t="s">
        <v>1678</v>
      </c>
    </row>
    <row r="1421" spans="1:5" x14ac:dyDescent="0.4">
      <c r="A1421" t="s">
        <v>2528</v>
      </c>
    </row>
    <row r="1422" spans="1:5" x14ac:dyDescent="0.4">
      <c r="A1422" t="s">
        <v>1339</v>
      </c>
      <c r="B1422">
        <v>16</v>
      </c>
      <c r="C1422" t="s">
        <v>1676</v>
      </c>
      <c r="D1422" t="s">
        <v>1679</v>
      </c>
      <c r="E1422" t="s">
        <v>1678</v>
      </c>
    </row>
    <row r="1423" spans="1:5" x14ac:dyDescent="0.4">
      <c r="A1423" t="s">
        <v>2529</v>
      </c>
    </row>
    <row r="1424" spans="1:5" x14ac:dyDescent="0.4">
      <c r="A1424" t="s">
        <v>2530</v>
      </c>
    </row>
    <row r="1425" spans="1:5" x14ac:dyDescent="0.4">
      <c r="A1425" t="s">
        <v>2531</v>
      </c>
    </row>
    <row r="1426" spans="1:5" x14ac:dyDescent="0.4">
      <c r="A1426" t="s">
        <v>1345</v>
      </c>
      <c r="B1426">
        <v>8</v>
      </c>
      <c r="C1426" t="s">
        <v>1676</v>
      </c>
      <c r="D1426" t="s">
        <v>1739</v>
      </c>
      <c r="E1426" t="s">
        <v>1678</v>
      </c>
    </row>
    <row r="1427" spans="1:5" x14ac:dyDescent="0.4">
      <c r="A1427" t="s">
        <v>2532</v>
      </c>
    </row>
    <row r="1428" spans="1:5" x14ac:dyDescent="0.4">
      <c r="A1428" t="s">
        <v>1347</v>
      </c>
      <c r="B1428">
        <v>10</v>
      </c>
      <c r="C1428" t="s">
        <v>1676</v>
      </c>
      <c r="D1428" t="s">
        <v>1737</v>
      </c>
      <c r="E1428" t="s">
        <v>1678</v>
      </c>
    </row>
    <row r="1429" spans="1:5" x14ac:dyDescent="0.4">
      <c r="A1429" t="s">
        <v>2533</v>
      </c>
    </row>
    <row r="1430" spans="1:5" x14ac:dyDescent="0.4">
      <c r="A1430" t="s">
        <v>1349</v>
      </c>
      <c r="B1430">
        <v>2</v>
      </c>
      <c r="C1430" t="s">
        <v>1676</v>
      </c>
      <c r="D1430" t="s">
        <v>1785</v>
      </c>
      <c r="E1430" t="s">
        <v>1678</v>
      </c>
    </row>
    <row r="1431" spans="1:5" x14ac:dyDescent="0.4">
      <c r="A1431" t="s">
        <v>2534</v>
      </c>
    </row>
    <row r="1432" spans="1:5" x14ac:dyDescent="0.4">
      <c r="A1432" t="s">
        <v>1351</v>
      </c>
      <c r="B1432">
        <v>1</v>
      </c>
      <c r="C1432" t="s">
        <v>1676</v>
      </c>
      <c r="D1432" t="s">
        <v>1693</v>
      </c>
      <c r="E1432" t="s">
        <v>1678</v>
      </c>
    </row>
    <row r="1433" spans="1:5" x14ac:dyDescent="0.4">
      <c r="A1433" t="s">
        <v>1351</v>
      </c>
      <c r="B1433">
        <v>2</v>
      </c>
      <c r="C1433" t="s">
        <v>1676</v>
      </c>
      <c r="D1433" t="s">
        <v>1749</v>
      </c>
      <c r="E1433" t="s">
        <v>1678</v>
      </c>
    </row>
    <row r="1434" spans="1:5" x14ac:dyDescent="0.4">
      <c r="A1434" t="s">
        <v>1351</v>
      </c>
      <c r="B1434">
        <v>11</v>
      </c>
      <c r="C1434" t="s">
        <v>1676</v>
      </c>
      <c r="D1434" t="s">
        <v>2224</v>
      </c>
      <c r="E1434" t="s">
        <v>1678</v>
      </c>
    </row>
    <row r="1435" spans="1:5" x14ac:dyDescent="0.4">
      <c r="A1435" t="s">
        <v>1351</v>
      </c>
      <c r="B1435">
        <v>12</v>
      </c>
      <c r="C1435" t="s">
        <v>1676</v>
      </c>
      <c r="D1435" t="s">
        <v>1706</v>
      </c>
      <c r="E1435" t="s">
        <v>1678</v>
      </c>
    </row>
    <row r="1436" spans="1:5" x14ac:dyDescent="0.4">
      <c r="A1436" t="s">
        <v>1351</v>
      </c>
      <c r="B1436">
        <v>13</v>
      </c>
      <c r="C1436" t="s">
        <v>1676</v>
      </c>
      <c r="D1436" t="s">
        <v>1740</v>
      </c>
      <c r="E1436" t="s">
        <v>1678</v>
      </c>
    </row>
    <row r="1437" spans="1:5" x14ac:dyDescent="0.4">
      <c r="A1437" t="s">
        <v>1351</v>
      </c>
      <c r="B1437">
        <v>16</v>
      </c>
      <c r="C1437" t="s">
        <v>1676</v>
      </c>
      <c r="D1437" t="s">
        <v>1749</v>
      </c>
      <c r="E1437" t="s">
        <v>1678</v>
      </c>
    </row>
    <row r="1438" spans="1:5" x14ac:dyDescent="0.4">
      <c r="A1438" t="s">
        <v>2535</v>
      </c>
    </row>
    <row r="1439" spans="1:5" x14ac:dyDescent="0.4">
      <c r="A1439" t="s">
        <v>2536</v>
      </c>
    </row>
    <row r="1440" spans="1:5" x14ac:dyDescent="0.4">
      <c r="A1440" t="s">
        <v>1355</v>
      </c>
      <c r="B1440">
        <v>6</v>
      </c>
      <c r="C1440" t="s">
        <v>1676</v>
      </c>
      <c r="D1440" t="s">
        <v>2537</v>
      </c>
      <c r="E1440" t="s">
        <v>1678</v>
      </c>
    </row>
    <row r="1441" spans="1:5" x14ac:dyDescent="0.4">
      <c r="A1441" t="s">
        <v>1355</v>
      </c>
      <c r="B1441">
        <v>9</v>
      </c>
      <c r="C1441" t="s">
        <v>1676</v>
      </c>
      <c r="D1441" t="s">
        <v>2538</v>
      </c>
      <c r="E1441" t="s">
        <v>1678</v>
      </c>
    </row>
    <row r="1442" spans="1:5" x14ac:dyDescent="0.4">
      <c r="A1442" t="s">
        <v>1355</v>
      </c>
      <c r="B1442">
        <v>13</v>
      </c>
      <c r="C1442" t="s">
        <v>1676</v>
      </c>
      <c r="D1442" t="s">
        <v>2539</v>
      </c>
      <c r="E1442" t="s">
        <v>1678</v>
      </c>
    </row>
    <row r="1443" spans="1:5" x14ac:dyDescent="0.4">
      <c r="A1443" t="s">
        <v>1355</v>
      </c>
      <c r="B1443">
        <v>16</v>
      </c>
      <c r="C1443" t="s">
        <v>1676</v>
      </c>
      <c r="D1443" t="s">
        <v>2540</v>
      </c>
      <c r="E1443" t="s">
        <v>1678</v>
      </c>
    </row>
    <row r="1444" spans="1:5" x14ac:dyDescent="0.4">
      <c r="A1444" t="s">
        <v>2541</v>
      </c>
    </row>
    <row r="1445" spans="1:5" x14ac:dyDescent="0.4">
      <c r="A1445" t="s">
        <v>1357</v>
      </c>
      <c r="B1445">
        <v>16</v>
      </c>
      <c r="C1445" t="s">
        <v>1676</v>
      </c>
      <c r="D1445" t="s">
        <v>1905</v>
      </c>
      <c r="E1445" t="s">
        <v>1678</v>
      </c>
    </row>
    <row r="1446" spans="1:5" x14ac:dyDescent="0.4">
      <c r="A1446" t="s">
        <v>2542</v>
      </c>
    </row>
    <row r="1447" spans="1:5" x14ac:dyDescent="0.4">
      <c r="A1447" t="s">
        <v>1359</v>
      </c>
      <c r="B1447">
        <v>10</v>
      </c>
      <c r="C1447" t="s">
        <v>1676</v>
      </c>
      <c r="D1447" t="s">
        <v>2333</v>
      </c>
      <c r="E1447" t="s">
        <v>1678</v>
      </c>
    </row>
    <row r="1448" spans="1:5" x14ac:dyDescent="0.4">
      <c r="A1448" t="s">
        <v>1359</v>
      </c>
      <c r="B1448">
        <v>16</v>
      </c>
      <c r="C1448" t="s">
        <v>1676</v>
      </c>
      <c r="D1448" t="s">
        <v>1790</v>
      </c>
      <c r="E1448" t="s">
        <v>1678</v>
      </c>
    </row>
    <row r="1449" spans="1:5" x14ac:dyDescent="0.4">
      <c r="A1449" t="s">
        <v>2543</v>
      </c>
    </row>
    <row r="1450" spans="1:5" x14ac:dyDescent="0.4">
      <c r="A1450" t="s">
        <v>2544</v>
      </c>
    </row>
    <row r="1451" spans="1:5" x14ac:dyDescent="0.4">
      <c r="A1451" t="s">
        <v>1363</v>
      </c>
      <c r="B1451">
        <v>11</v>
      </c>
      <c r="C1451" t="s">
        <v>1676</v>
      </c>
      <c r="D1451" t="s">
        <v>1687</v>
      </c>
      <c r="E1451" t="s">
        <v>1678</v>
      </c>
    </row>
    <row r="1452" spans="1:5" x14ac:dyDescent="0.4">
      <c r="A1452" t="s">
        <v>1363</v>
      </c>
      <c r="B1452">
        <v>14</v>
      </c>
      <c r="C1452" t="s">
        <v>1676</v>
      </c>
      <c r="D1452" t="s">
        <v>1864</v>
      </c>
      <c r="E1452" t="s">
        <v>1678</v>
      </c>
    </row>
    <row r="1453" spans="1:5" x14ac:dyDescent="0.4">
      <c r="A1453" t="s">
        <v>1363</v>
      </c>
      <c r="B1453">
        <v>15</v>
      </c>
      <c r="C1453" t="s">
        <v>1676</v>
      </c>
      <c r="D1453" t="s">
        <v>1681</v>
      </c>
      <c r="E1453" t="s">
        <v>1678</v>
      </c>
    </row>
    <row r="1454" spans="1:5" x14ac:dyDescent="0.4">
      <c r="A1454" t="s">
        <v>2545</v>
      </c>
    </row>
    <row r="1455" spans="1:5" x14ac:dyDescent="0.4">
      <c r="A1455" t="s">
        <v>2546</v>
      </c>
    </row>
    <row r="1456" spans="1:5" x14ac:dyDescent="0.4">
      <c r="A1456" t="s">
        <v>1367</v>
      </c>
      <c r="B1456">
        <v>7</v>
      </c>
      <c r="C1456" t="s">
        <v>1676</v>
      </c>
      <c r="D1456" t="s">
        <v>1745</v>
      </c>
      <c r="E1456" t="s">
        <v>1678</v>
      </c>
    </row>
    <row r="1457" spans="1:5" x14ac:dyDescent="0.4">
      <c r="A1457" t="s">
        <v>1367</v>
      </c>
      <c r="B1457">
        <v>14</v>
      </c>
      <c r="C1457" t="s">
        <v>1676</v>
      </c>
      <c r="D1457" t="s">
        <v>1718</v>
      </c>
      <c r="E1457" t="s">
        <v>1678</v>
      </c>
    </row>
    <row r="1458" spans="1:5" x14ac:dyDescent="0.4">
      <c r="A1458" t="s">
        <v>2547</v>
      </c>
    </row>
    <row r="1459" spans="1:5" x14ac:dyDescent="0.4">
      <c r="A1459" t="s">
        <v>1369</v>
      </c>
      <c r="B1459">
        <v>5</v>
      </c>
      <c r="C1459" t="s">
        <v>1676</v>
      </c>
      <c r="D1459" t="s">
        <v>1815</v>
      </c>
      <c r="E1459" t="s">
        <v>1678</v>
      </c>
    </row>
    <row r="1460" spans="1:5" x14ac:dyDescent="0.4">
      <c r="A1460" t="s">
        <v>1369</v>
      </c>
      <c r="B1460">
        <v>18</v>
      </c>
      <c r="C1460" t="s">
        <v>1676</v>
      </c>
      <c r="D1460" t="s">
        <v>1704</v>
      </c>
      <c r="E1460" t="s">
        <v>1678</v>
      </c>
    </row>
    <row r="1461" spans="1:5" x14ac:dyDescent="0.4">
      <c r="A1461" t="s">
        <v>2548</v>
      </c>
    </row>
    <row r="1462" spans="1:5" x14ac:dyDescent="0.4">
      <c r="A1462" t="s">
        <v>1371</v>
      </c>
      <c r="B1462">
        <v>15</v>
      </c>
      <c r="C1462" t="s">
        <v>1676</v>
      </c>
      <c r="D1462" t="s">
        <v>1679</v>
      </c>
      <c r="E1462" t="s">
        <v>1678</v>
      </c>
    </row>
    <row r="1463" spans="1:5" x14ac:dyDescent="0.4">
      <c r="A1463" t="s">
        <v>2549</v>
      </c>
    </row>
    <row r="1464" spans="1:5" x14ac:dyDescent="0.4">
      <c r="A1464" t="s">
        <v>1373</v>
      </c>
      <c r="B1464">
        <v>19</v>
      </c>
      <c r="C1464" t="s">
        <v>1676</v>
      </c>
      <c r="D1464" t="s">
        <v>1740</v>
      </c>
      <c r="E1464" t="s">
        <v>1678</v>
      </c>
    </row>
    <row r="1465" spans="1:5" x14ac:dyDescent="0.4">
      <c r="A1465" t="s">
        <v>2550</v>
      </c>
    </row>
    <row r="1466" spans="1:5" x14ac:dyDescent="0.4">
      <c r="A1466" t="s">
        <v>1375</v>
      </c>
      <c r="B1466">
        <v>3</v>
      </c>
      <c r="C1466" t="s">
        <v>1676</v>
      </c>
      <c r="D1466" t="s">
        <v>1738</v>
      </c>
      <c r="E1466" t="s">
        <v>1678</v>
      </c>
    </row>
    <row r="1467" spans="1:5" x14ac:dyDescent="0.4">
      <c r="A1467" t="s">
        <v>1375</v>
      </c>
      <c r="B1467">
        <v>6</v>
      </c>
      <c r="C1467" t="s">
        <v>1676</v>
      </c>
      <c r="D1467" t="s">
        <v>1737</v>
      </c>
      <c r="E1467" t="s">
        <v>1678</v>
      </c>
    </row>
    <row r="1468" spans="1:5" x14ac:dyDescent="0.4">
      <c r="A1468" t="s">
        <v>1375</v>
      </c>
      <c r="B1468">
        <v>11</v>
      </c>
      <c r="C1468" t="s">
        <v>1676</v>
      </c>
      <c r="D1468" t="s">
        <v>1690</v>
      </c>
      <c r="E1468" t="s">
        <v>1678</v>
      </c>
    </row>
    <row r="1469" spans="1:5" x14ac:dyDescent="0.4">
      <c r="A1469" t="s">
        <v>1375</v>
      </c>
      <c r="B1469">
        <v>14</v>
      </c>
      <c r="C1469" t="s">
        <v>1676</v>
      </c>
      <c r="D1469" t="s">
        <v>1691</v>
      </c>
      <c r="E1469" t="s">
        <v>1678</v>
      </c>
    </row>
    <row r="1470" spans="1:5" x14ac:dyDescent="0.4">
      <c r="A1470" t="s">
        <v>2551</v>
      </c>
    </row>
    <row r="1471" spans="1:5" x14ac:dyDescent="0.4">
      <c r="A1471" t="s">
        <v>1377</v>
      </c>
      <c r="B1471">
        <v>3</v>
      </c>
      <c r="C1471" t="s">
        <v>1676</v>
      </c>
      <c r="D1471" t="s">
        <v>1693</v>
      </c>
      <c r="E1471" t="s">
        <v>1678</v>
      </c>
    </row>
    <row r="1472" spans="1:5" x14ac:dyDescent="0.4">
      <c r="A1472" t="s">
        <v>2552</v>
      </c>
    </row>
    <row r="1473" spans="1:5" x14ac:dyDescent="0.4">
      <c r="A1473" t="s">
        <v>1379</v>
      </c>
      <c r="B1473">
        <v>18</v>
      </c>
      <c r="C1473" t="s">
        <v>1676</v>
      </c>
      <c r="D1473" t="s">
        <v>1780</v>
      </c>
      <c r="E1473" t="s">
        <v>1678</v>
      </c>
    </row>
    <row r="1474" spans="1:5" x14ac:dyDescent="0.4">
      <c r="A1474" t="s">
        <v>2553</v>
      </c>
    </row>
    <row r="1475" spans="1:5" x14ac:dyDescent="0.4">
      <c r="A1475" t="s">
        <v>1381</v>
      </c>
      <c r="B1475">
        <v>5</v>
      </c>
      <c r="C1475" t="s">
        <v>1676</v>
      </c>
      <c r="D1475" t="s">
        <v>1737</v>
      </c>
      <c r="E1475" t="s">
        <v>1678</v>
      </c>
    </row>
    <row r="1476" spans="1:5" x14ac:dyDescent="0.4">
      <c r="A1476" t="s">
        <v>1381</v>
      </c>
      <c r="B1476">
        <v>8</v>
      </c>
      <c r="C1476" t="s">
        <v>1676</v>
      </c>
      <c r="D1476" t="s">
        <v>1709</v>
      </c>
      <c r="E1476" t="s">
        <v>1678</v>
      </c>
    </row>
    <row r="1477" spans="1:5" x14ac:dyDescent="0.4">
      <c r="A1477" t="s">
        <v>1381</v>
      </c>
      <c r="B1477">
        <v>10</v>
      </c>
      <c r="C1477" t="s">
        <v>1676</v>
      </c>
      <c r="D1477" t="s">
        <v>1709</v>
      </c>
      <c r="E1477" t="s">
        <v>1678</v>
      </c>
    </row>
    <row r="1478" spans="1:5" x14ac:dyDescent="0.4">
      <c r="A1478" t="s">
        <v>1381</v>
      </c>
      <c r="B1478">
        <v>11</v>
      </c>
      <c r="C1478" t="s">
        <v>1676</v>
      </c>
      <c r="D1478" t="s">
        <v>1740</v>
      </c>
      <c r="E1478" t="s">
        <v>1678</v>
      </c>
    </row>
    <row r="1479" spans="1:5" x14ac:dyDescent="0.4">
      <c r="A1479" t="s">
        <v>2554</v>
      </c>
    </row>
    <row r="1480" spans="1:5" x14ac:dyDescent="0.4">
      <c r="A1480" t="s">
        <v>1383</v>
      </c>
      <c r="B1480">
        <v>14</v>
      </c>
      <c r="C1480" t="s">
        <v>1676</v>
      </c>
      <c r="D1480" t="s">
        <v>2102</v>
      </c>
      <c r="E1480" t="s">
        <v>1678</v>
      </c>
    </row>
    <row r="1481" spans="1:5" x14ac:dyDescent="0.4">
      <c r="A1481" t="s">
        <v>2555</v>
      </c>
    </row>
    <row r="1482" spans="1:5" x14ac:dyDescent="0.4">
      <c r="A1482" t="s">
        <v>2556</v>
      </c>
    </row>
    <row r="1483" spans="1:5" x14ac:dyDescent="0.4">
      <c r="A1483" t="s">
        <v>2557</v>
      </c>
    </row>
    <row r="1484" spans="1:5" x14ac:dyDescent="0.4">
      <c r="A1484" t="s">
        <v>2558</v>
      </c>
    </row>
    <row r="1485" spans="1:5" x14ac:dyDescent="0.4">
      <c r="A1485" t="s">
        <v>1391</v>
      </c>
      <c r="B1485">
        <v>11</v>
      </c>
      <c r="C1485" t="s">
        <v>1676</v>
      </c>
      <c r="D1485" t="s">
        <v>1740</v>
      </c>
      <c r="E1485" t="s">
        <v>1678</v>
      </c>
    </row>
    <row r="1486" spans="1:5" x14ac:dyDescent="0.4">
      <c r="A1486" t="s">
        <v>1391</v>
      </c>
      <c r="B1486">
        <v>15</v>
      </c>
      <c r="C1486" t="s">
        <v>1676</v>
      </c>
      <c r="D1486" t="s">
        <v>2112</v>
      </c>
      <c r="E1486" t="s">
        <v>1678</v>
      </c>
    </row>
    <row r="1487" spans="1:5" x14ac:dyDescent="0.4">
      <c r="A1487" t="s">
        <v>2559</v>
      </c>
    </row>
    <row r="1488" spans="1:5" x14ac:dyDescent="0.4">
      <c r="A1488" t="s">
        <v>1393</v>
      </c>
      <c r="B1488">
        <v>5</v>
      </c>
      <c r="C1488" t="s">
        <v>1676</v>
      </c>
      <c r="D1488" t="s">
        <v>1738</v>
      </c>
      <c r="E1488" t="s">
        <v>1678</v>
      </c>
    </row>
    <row r="1489" spans="1:5" x14ac:dyDescent="0.4">
      <c r="A1489" t="s">
        <v>1393</v>
      </c>
      <c r="B1489">
        <v>14</v>
      </c>
      <c r="C1489" t="s">
        <v>1676</v>
      </c>
      <c r="D1489" t="s">
        <v>1703</v>
      </c>
      <c r="E1489" t="s">
        <v>1678</v>
      </c>
    </row>
    <row r="1490" spans="1:5" x14ac:dyDescent="0.4">
      <c r="A1490" t="s">
        <v>1393</v>
      </c>
      <c r="B1490">
        <v>16</v>
      </c>
      <c r="C1490" t="s">
        <v>1676</v>
      </c>
      <c r="D1490" t="s">
        <v>1864</v>
      </c>
      <c r="E1490" t="s">
        <v>1678</v>
      </c>
    </row>
    <row r="1491" spans="1:5" x14ac:dyDescent="0.4">
      <c r="A1491" t="s">
        <v>1393</v>
      </c>
      <c r="B1491">
        <v>17</v>
      </c>
      <c r="C1491" t="s">
        <v>1676</v>
      </c>
      <c r="D1491" t="s">
        <v>1703</v>
      </c>
      <c r="E1491" t="s">
        <v>1678</v>
      </c>
    </row>
    <row r="1492" spans="1:5" x14ac:dyDescent="0.4">
      <c r="A1492" t="s">
        <v>2560</v>
      </c>
    </row>
    <row r="1493" spans="1:5" x14ac:dyDescent="0.4">
      <c r="A1493" t="s">
        <v>1395</v>
      </c>
      <c r="B1493">
        <v>6</v>
      </c>
      <c r="C1493" t="s">
        <v>1676</v>
      </c>
      <c r="D1493" t="s">
        <v>2007</v>
      </c>
      <c r="E1493" t="s">
        <v>1678</v>
      </c>
    </row>
    <row r="1494" spans="1:5" x14ac:dyDescent="0.4">
      <c r="A1494" t="s">
        <v>2561</v>
      </c>
    </row>
    <row r="1495" spans="1:5" x14ac:dyDescent="0.4">
      <c r="A1495" t="s">
        <v>2562</v>
      </c>
    </row>
    <row r="1496" spans="1:5" x14ac:dyDescent="0.4">
      <c r="A1496" t="s">
        <v>1399</v>
      </c>
      <c r="B1496">
        <v>1</v>
      </c>
      <c r="C1496" t="s">
        <v>1676</v>
      </c>
      <c r="D1496" t="s">
        <v>1709</v>
      </c>
      <c r="E1496" t="s">
        <v>1678</v>
      </c>
    </row>
    <row r="1497" spans="1:5" x14ac:dyDescent="0.4">
      <c r="A1497" t="s">
        <v>2563</v>
      </c>
    </row>
    <row r="1498" spans="1:5" x14ac:dyDescent="0.4">
      <c r="A1498" t="s">
        <v>2564</v>
      </c>
    </row>
    <row r="1499" spans="1:5" x14ac:dyDescent="0.4">
      <c r="A1499" t="s">
        <v>1403</v>
      </c>
      <c r="B1499">
        <v>7</v>
      </c>
      <c r="C1499" t="s">
        <v>1676</v>
      </c>
      <c r="D1499" t="s">
        <v>1687</v>
      </c>
      <c r="E1499" t="s">
        <v>1678</v>
      </c>
    </row>
    <row r="1500" spans="1:5" x14ac:dyDescent="0.4">
      <c r="A1500" t="s">
        <v>1403</v>
      </c>
      <c r="B1500">
        <v>16</v>
      </c>
      <c r="C1500" t="s">
        <v>1676</v>
      </c>
      <c r="D1500" t="s">
        <v>1742</v>
      </c>
      <c r="E1500" t="s">
        <v>1678</v>
      </c>
    </row>
    <row r="1501" spans="1:5" x14ac:dyDescent="0.4">
      <c r="A1501" t="s">
        <v>2565</v>
      </c>
    </row>
    <row r="1502" spans="1:5" x14ac:dyDescent="0.4">
      <c r="A1502" t="s">
        <v>2566</v>
      </c>
    </row>
    <row r="1503" spans="1:5" x14ac:dyDescent="0.4">
      <c r="A1503" t="s">
        <v>1407</v>
      </c>
      <c r="B1503">
        <v>9</v>
      </c>
      <c r="C1503" t="s">
        <v>1676</v>
      </c>
      <c r="D1503" t="s">
        <v>1690</v>
      </c>
      <c r="E1503" t="s">
        <v>1678</v>
      </c>
    </row>
    <row r="1504" spans="1:5" x14ac:dyDescent="0.4">
      <c r="A1504" t="s">
        <v>1407</v>
      </c>
      <c r="B1504">
        <v>16</v>
      </c>
      <c r="C1504" t="s">
        <v>1676</v>
      </c>
      <c r="D1504" t="s">
        <v>1734</v>
      </c>
      <c r="E1504" t="s">
        <v>1678</v>
      </c>
    </row>
    <row r="1505" spans="1:5" x14ac:dyDescent="0.4">
      <c r="A1505" t="s">
        <v>2567</v>
      </c>
    </row>
    <row r="1506" spans="1:5" x14ac:dyDescent="0.4">
      <c r="A1506" t="s">
        <v>1409</v>
      </c>
      <c r="B1506">
        <v>20</v>
      </c>
      <c r="C1506" t="s">
        <v>1676</v>
      </c>
      <c r="D1506" t="s">
        <v>1699</v>
      </c>
      <c r="E1506" t="s">
        <v>1678</v>
      </c>
    </row>
    <row r="1507" spans="1:5" x14ac:dyDescent="0.4">
      <c r="A1507" t="s">
        <v>2568</v>
      </c>
    </row>
    <row r="1508" spans="1:5" x14ac:dyDescent="0.4">
      <c r="A1508" t="s">
        <v>2569</v>
      </c>
    </row>
    <row r="1509" spans="1:5" x14ac:dyDescent="0.4">
      <c r="A1509" t="s">
        <v>1413</v>
      </c>
      <c r="B1509">
        <v>1</v>
      </c>
      <c r="C1509" t="s">
        <v>1676</v>
      </c>
      <c r="D1509" t="s">
        <v>1704</v>
      </c>
      <c r="E1509" t="s">
        <v>1678</v>
      </c>
    </row>
    <row r="1510" spans="1:5" x14ac:dyDescent="0.4">
      <c r="A1510" t="s">
        <v>2570</v>
      </c>
    </row>
    <row r="1511" spans="1:5" x14ac:dyDescent="0.4">
      <c r="A1511" t="s">
        <v>1415</v>
      </c>
      <c r="B1511">
        <v>2</v>
      </c>
      <c r="C1511" t="s">
        <v>1676</v>
      </c>
      <c r="D1511" t="s">
        <v>1691</v>
      </c>
      <c r="E1511" t="s">
        <v>1678</v>
      </c>
    </row>
    <row r="1512" spans="1:5" x14ac:dyDescent="0.4">
      <c r="A1512" t="s">
        <v>1415</v>
      </c>
      <c r="B1512">
        <v>4</v>
      </c>
      <c r="C1512" t="s">
        <v>1676</v>
      </c>
      <c r="D1512" t="s">
        <v>2102</v>
      </c>
      <c r="E1512" t="s">
        <v>1678</v>
      </c>
    </row>
    <row r="1513" spans="1:5" x14ac:dyDescent="0.4">
      <c r="A1513" t="s">
        <v>2571</v>
      </c>
    </row>
    <row r="1514" spans="1:5" x14ac:dyDescent="0.4">
      <c r="A1514" t="s">
        <v>1417</v>
      </c>
      <c r="B1514">
        <v>17</v>
      </c>
      <c r="C1514" t="s">
        <v>1676</v>
      </c>
      <c r="D1514" t="s">
        <v>1945</v>
      </c>
      <c r="E1514" t="s">
        <v>1678</v>
      </c>
    </row>
    <row r="1515" spans="1:5" x14ac:dyDescent="0.4">
      <c r="A1515" t="s">
        <v>2572</v>
      </c>
    </row>
    <row r="1516" spans="1:5" x14ac:dyDescent="0.4">
      <c r="A1516" t="s">
        <v>1419</v>
      </c>
      <c r="B1516">
        <v>8</v>
      </c>
      <c r="C1516" t="s">
        <v>1676</v>
      </c>
      <c r="D1516" t="s">
        <v>2109</v>
      </c>
      <c r="E1516" t="s">
        <v>1678</v>
      </c>
    </row>
    <row r="1517" spans="1:5" x14ac:dyDescent="0.4">
      <c r="A1517" t="s">
        <v>2573</v>
      </c>
    </row>
    <row r="1518" spans="1:5" x14ac:dyDescent="0.4">
      <c r="A1518" t="s">
        <v>2574</v>
      </c>
    </row>
    <row r="1519" spans="1:5" x14ac:dyDescent="0.4">
      <c r="A1519" t="s">
        <v>1423</v>
      </c>
      <c r="B1519">
        <v>16</v>
      </c>
      <c r="C1519" t="s">
        <v>1676</v>
      </c>
      <c r="D1519" t="s">
        <v>1897</v>
      </c>
      <c r="E1519" t="s">
        <v>1678</v>
      </c>
    </row>
    <row r="1520" spans="1:5" x14ac:dyDescent="0.4">
      <c r="A1520" t="s">
        <v>2575</v>
      </c>
    </row>
    <row r="1521" spans="1:5" x14ac:dyDescent="0.4">
      <c r="A1521" t="s">
        <v>1425</v>
      </c>
      <c r="B1521">
        <v>10</v>
      </c>
      <c r="C1521" t="s">
        <v>1676</v>
      </c>
      <c r="D1521" t="s">
        <v>1707</v>
      </c>
      <c r="E1521" t="s">
        <v>1678</v>
      </c>
    </row>
    <row r="1522" spans="1:5" x14ac:dyDescent="0.4">
      <c r="A1522" t="s">
        <v>1425</v>
      </c>
      <c r="B1522">
        <v>11</v>
      </c>
      <c r="C1522" t="s">
        <v>1676</v>
      </c>
      <c r="D1522" t="s">
        <v>1690</v>
      </c>
      <c r="E1522" t="s">
        <v>1678</v>
      </c>
    </row>
    <row r="1523" spans="1:5" x14ac:dyDescent="0.4">
      <c r="A1523" t="s">
        <v>1425</v>
      </c>
      <c r="B1523">
        <v>17</v>
      </c>
      <c r="C1523" t="s">
        <v>1676</v>
      </c>
      <c r="D1523" t="s">
        <v>1780</v>
      </c>
      <c r="E1523" t="s">
        <v>1678</v>
      </c>
    </row>
    <row r="1524" spans="1:5" x14ac:dyDescent="0.4">
      <c r="A1524" t="s">
        <v>1425</v>
      </c>
      <c r="B1524">
        <v>19</v>
      </c>
      <c r="C1524" t="s">
        <v>1676</v>
      </c>
      <c r="D1524" t="s">
        <v>1687</v>
      </c>
      <c r="E1524" t="s">
        <v>1678</v>
      </c>
    </row>
    <row r="1525" spans="1:5" x14ac:dyDescent="0.4">
      <c r="A1525" t="s">
        <v>1425</v>
      </c>
      <c r="B1525">
        <v>21</v>
      </c>
      <c r="C1525" t="s">
        <v>1676</v>
      </c>
      <c r="D1525" t="s">
        <v>2246</v>
      </c>
      <c r="E1525" t="s">
        <v>1678</v>
      </c>
    </row>
    <row r="1526" spans="1:5" x14ac:dyDescent="0.4">
      <c r="A1526" t="s">
        <v>2576</v>
      </c>
    </row>
    <row r="1527" spans="1:5" x14ac:dyDescent="0.4">
      <c r="A1527" t="s">
        <v>2577</v>
      </c>
    </row>
    <row r="1528" spans="1:5" x14ac:dyDescent="0.4">
      <c r="A1528" t="s">
        <v>1429</v>
      </c>
      <c r="B1528">
        <v>2</v>
      </c>
      <c r="C1528" t="s">
        <v>1676</v>
      </c>
      <c r="D1528" t="s">
        <v>2114</v>
      </c>
      <c r="E1528" t="s">
        <v>1678</v>
      </c>
    </row>
    <row r="1529" spans="1:5" x14ac:dyDescent="0.4">
      <c r="A1529" t="s">
        <v>1429</v>
      </c>
      <c r="B1529">
        <v>3</v>
      </c>
      <c r="C1529" t="s">
        <v>1676</v>
      </c>
      <c r="D1529" t="s">
        <v>1680</v>
      </c>
      <c r="E1529" t="s">
        <v>1678</v>
      </c>
    </row>
    <row r="1530" spans="1:5" x14ac:dyDescent="0.4">
      <c r="A1530" t="s">
        <v>1429</v>
      </c>
      <c r="B1530">
        <v>9</v>
      </c>
      <c r="C1530" t="s">
        <v>1676</v>
      </c>
      <c r="D1530" t="s">
        <v>1690</v>
      </c>
      <c r="E1530" t="s">
        <v>1678</v>
      </c>
    </row>
    <row r="1531" spans="1:5" x14ac:dyDescent="0.4">
      <c r="A1531" t="s">
        <v>1429</v>
      </c>
      <c r="B1531">
        <v>11</v>
      </c>
      <c r="C1531" t="s">
        <v>1676</v>
      </c>
      <c r="D1531" t="s">
        <v>1785</v>
      </c>
      <c r="E1531" t="s">
        <v>1678</v>
      </c>
    </row>
    <row r="1532" spans="1:5" x14ac:dyDescent="0.4">
      <c r="A1532" t="s">
        <v>1429</v>
      </c>
      <c r="B1532">
        <v>13</v>
      </c>
      <c r="C1532" t="s">
        <v>1676</v>
      </c>
      <c r="D1532" t="s">
        <v>1703</v>
      </c>
      <c r="E1532" t="s">
        <v>1678</v>
      </c>
    </row>
    <row r="1533" spans="1:5" x14ac:dyDescent="0.4">
      <c r="A1533" t="s">
        <v>1429</v>
      </c>
      <c r="B1533">
        <v>14</v>
      </c>
      <c r="C1533" t="s">
        <v>1676</v>
      </c>
      <c r="D1533" t="s">
        <v>1864</v>
      </c>
      <c r="E1533" t="s">
        <v>1678</v>
      </c>
    </row>
    <row r="1534" spans="1:5" x14ac:dyDescent="0.4">
      <c r="A1534" t="s">
        <v>2578</v>
      </c>
    </row>
    <row r="1535" spans="1:5" x14ac:dyDescent="0.4">
      <c r="A1535" t="s">
        <v>1431</v>
      </c>
      <c r="B1535">
        <v>1</v>
      </c>
      <c r="C1535" t="s">
        <v>1676</v>
      </c>
      <c r="D1535" t="s">
        <v>1755</v>
      </c>
      <c r="E1535" t="s">
        <v>1678</v>
      </c>
    </row>
    <row r="1536" spans="1:5" x14ac:dyDescent="0.4">
      <c r="A1536" t="s">
        <v>1431</v>
      </c>
      <c r="B1536">
        <v>2</v>
      </c>
      <c r="C1536" t="s">
        <v>1676</v>
      </c>
      <c r="D1536" t="s">
        <v>1725</v>
      </c>
      <c r="E1536" t="s">
        <v>1678</v>
      </c>
    </row>
    <row r="1537" spans="1:5" x14ac:dyDescent="0.4">
      <c r="A1537" t="s">
        <v>1431</v>
      </c>
      <c r="B1537">
        <v>9</v>
      </c>
      <c r="C1537" t="s">
        <v>1676</v>
      </c>
      <c r="D1537" t="s">
        <v>2079</v>
      </c>
      <c r="E1537" t="s">
        <v>1678</v>
      </c>
    </row>
    <row r="1538" spans="1:5" x14ac:dyDescent="0.4">
      <c r="A1538" t="s">
        <v>1431</v>
      </c>
      <c r="B1538">
        <v>15</v>
      </c>
      <c r="C1538" t="s">
        <v>1676</v>
      </c>
      <c r="D1538" t="s">
        <v>1991</v>
      </c>
      <c r="E1538" t="s">
        <v>1678</v>
      </c>
    </row>
    <row r="1539" spans="1:5" x14ac:dyDescent="0.4">
      <c r="A1539" t="s">
        <v>1431</v>
      </c>
      <c r="B1539">
        <v>17</v>
      </c>
      <c r="C1539" t="s">
        <v>1676</v>
      </c>
      <c r="D1539" t="s">
        <v>1705</v>
      </c>
      <c r="E1539" t="s">
        <v>1678</v>
      </c>
    </row>
    <row r="1540" spans="1:5" x14ac:dyDescent="0.4">
      <c r="A1540" t="s">
        <v>2579</v>
      </c>
    </row>
    <row r="1541" spans="1:5" x14ac:dyDescent="0.4">
      <c r="A1541" t="s">
        <v>1433</v>
      </c>
      <c r="B1541">
        <v>7</v>
      </c>
      <c r="C1541" t="s">
        <v>1676</v>
      </c>
      <c r="D1541" t="s">
        <v>2580</v>
      </c>
      <c r="E1541" t="s">
        <v>1678</v>
      </c>
    </row>
    <row r="1542" spans="1:5" x14ac:dyDescent="0.4">
      <c r="A1542" t="s">
        <v>1433</v>
      </c>
      <c r="B1542">
        <v>20</v>
      </c>
      <c r="C1542" t="s">
        <v>1676</v>
      </c>
      <c r="D1542" t="s">
        <v>1766</v>
      </c>
      <c r="E1542" t="s">
        <v>1678</v>
      </c>
    </row>
    <row r="1543" spans="1:5" x14ac:dyDescent="0.4">
      <c r="A1543" t="s">
        <v>2581</v>
      </c>
    </row>
    <row r="1544" spans="1:5" x14ac:dyDescent="0.4">
      <c r="A1544" t="s">
        <v>1435</v>
      </c>
      <c r="B1544">
        <v>21</v>
      </c>
      <c r="C1544" t="s">
        <v>1676</v>
      </c>
      <c r="D1544" t="s">
        <v>1962</v>
      </c>
      <c r="E1544" t="s">
        <v>1678</v>
      </c>
    </row>
    <row r="1545" spans="1:5" x14ac:dyDescent="0.4">
      <c r="A1545" t="s">
        <v>2582</v>
      </c>
    </row>
    <row r="1546" spans="1:5" x14ac:dyDescent="0.4">
      <c r="A1546" t="s">
        <v>2583</v>
      </c>
    </row>
    <row r="1547" spans="1:5" x14ac:dyDescent="0.4">
      <c r="A1547" t="s">
        <v>1439</v>
      </c>
      <c r="B1547">
        <v>9</v>
      </c>
      <c r="C1547" t="s">
        <v>1676</v>
      </c>
      <c r="D1547" t="s">
        <v>1706</v>
      </c>
      <c r="E1547" t="s">
        <v>1678</v>
      </c>
    </row>
    <row r="1548" spans="1:5" x14ac:dyDescent="0.4">
      <c r="A1548" t="s">
        <v>1439</v>
      </c>
      <c r="B1548">
        <v>16</v>
      </c>
      <c r="C1548" t="s">
        <v>1676</v>
      </c>
      <c r="D1548" t="s">
        <v>1690</v>
      </c>
      <c r="E1548" t="s">
        <v>1678</v>
      </c>
    </row>
    <row r="1549" spans="1:5" x14ac:dyDescent="0.4">
      <c r="A1549" t="s">
        <v>1439</v>
      </c>
      <c r="B1549">
        <v>18</v>
      </c>
      <c r="C1549" t="s">
        <v>1676</v>
      </c>
      <c r="D1549" t="s">
        <v>1926</v>
      </c>
      <c r="E1549" t="s">
        <v>1678</v>
      </c>
    </row>
    <row r="1550" spans="1:5" x14ac:dyDescent="0.4">
      <c r="A1550" t="s">
        <v>2584</v>
      </c>
    </row>
    <row r="1551" spans="1:5" x14ac:dyDescent="0.4">
      <c r="A1551" t="s">
        <v>1441</v>
      </c>
      <c r="B1551">
        <v>19</v>
      </c>
      <c r="C1551" t="s">
        <v>1676</v>
      </c>
      <c r="D1551" t="s">
        <v>1800</v>
      </c>
      <c r="E1551" t="s">
        <v>1678</v>
      </c>
    </row>
    <row r="1552" spans="1:5" x14ac:dyDescent="0.4">
      <c r="A1552" t="s">
        <v>2585</v>
      </c>
    </row>
    <row r="1553" spans="1:5" x14ac:dyDescent="0.4">
      <c r="A1553" t="s">
        <v>2586</v>
      </c>
    </row>
    <row r="1554" spans="1:5" x14ac:dyDescent="0.4">
      <c r="A1554" t="s">
        <v>1445</v>
      </c>
      <c r="B1554">
        <v>2</v>
      </c>
      <c r="C1554" t="s">
        <v>1676</v>
      </c>
      <c r="D1554" t="s">
        <v>1725</v>
      </c>
      <c r="E1554" t="s">
        <v>1678</v>
      </c>
    </row>
    <row r="1555" spans="1:5" x14ac:dyDescent="0.4">
      <c r="A1555" t="s">
        <v>1445</v>
      </c>
      <c r="B1555">
        <v>11</v>
      </c>
      <c r="C1555" t="s">
        <v>1676</v>
      </c>
      <c r="D1555" t="s">
        <v>2178</v>
      </c>
      <c r="E1555" t="s">
        <v>1678</v>
      </c>
    </row>
    <row r="1556" spans="1:5" x14ac:dyDescent="0.4">
      <c r="A1556" t="s">
        <v>2587</v>
      </c>
    </row>
    <row r="1557" spans="1:5" x14ac:dyDescent="0.4">
      <c r="A1557" t="s">
        <v>2588</v>
      </c>
    </row>
    <row r="1558" spans="1:5" x14ac:dyDescent="0.4">
      <c r="A1558" t="s">
        <v>2589</v>
      </c>
    </row>
    <row r="1559" spans="1:5" x14ac:dyDescent="0.4">
      <c r="A1559" t="s">
        <v>2590</v>
      </c>
    </row>
    <row r="1560" spans="1:5" x14ac:dyDescent="0.4">
      <c r="A1560" t="s">
        <v>1453</v>
      </c>
      <c r="B1560">
        <v>20</v>
      </c>
      <c r="C1560" t="s">
        <v>1676</v>
      </c>
      <c r="D1560" t="s">
        <v>2102</v>
      </c>
      <c r="E1560" t="s">
        <v>1678</v>
      </c>
    </row>
    <row r="1561" spans="1:5" x14ac:dyDescent="0.4">
      <c r="A1561" t="s">
        <v>2591</v>
      </c>
    </row>
    <row r="1562" spans="1:5" x14ac:dyDescent="0.4">
      <c r="A1562" t="s">
        <v>2592</v>
      </c>
    </row>
    <row r="1563" spans="1:5" x14ac:dyDescent="0.4">
      <c r="A1563" t="s">
        <v>2593</v>
      </c>
    </row>
    <row r="1564" spans="1:5" x14ac:dyDescent="0.4">
      <c r="A1564" t="s">
        <v>2594</v>
      </c>
    </row>
    <row r="1565" spans="1:5" x14ac:dyDescent="0.4">
      <c r="A1565" t="s">
        <v>1461</v>
      </c>
      <c r="B1565">
        <v>1</v>
      </c>
      <c r="C1565" t="s">
        <v>1676</v>
      </c>
      <c r="D1565" t="s">
        <v>1721</v>
      </c>
      <c r="E1565" t="s">
        <v>1678</v>
      </c>
    </row>
    <row r="1566" spans="1:5" x14ac:dyDescent="0.4">
      <c r="A1566" t="s">
        <v>1461</v>
      </c>
      <c r="B1566">
        <v>18</v>
      </c>
      <c r="C1566" t="s">
        <v>1676</v>
      </c>
      <c r="D1566" t="s">
        <v>1691</v>
      </c>
      <c r="E1566" t="s">
        <v>1678</v>
      </c>
    </row>
    <row r="1567" spans="1:5" x14ac:dyDescent="0.4">
      <c r="A1567" t="s">
        <v>2595</v>
      </c>
    </row>
    <row r="1568" spans="1:5" x14ac:dyDescent="0.4">
      <c r="A1568" t="s">
        <v>1463</v>
      </c>
      <c r="B1568">
        <v>8</v>
      </c>
      <c r="C1568" t="s">
        <v>1676</v>
      </c>
      <c r="D1568" t="s">
        <v>1922</v>
      </c>
      <c r="E1568" t="s">
        <v>1678</v>
      </c>
    </row>
    <row r="1569" spans="1:5" x14ac:dyDescent="0.4">
      <c r="A1569" t="s">
        <v>1463</v>
      </c>
      <c r="B1569">
        <v>19</v>
      </c>
      <c r="C1569" t="s">
        <v>1676</v>
      </c>
      <c r="D1569" t="s">
        <v>1709</v>
      </c>
      <c r="E1569" t="s">
        <v>1678</v>
      </c>
    </row>
    <row r="1570" spans="1:5" x14ac:dyDescent="0.4">
      <c r="A1570" t="s">
        <v>2596</v>
      </c>
    </row>
    <row r="1571" spans="1:5" x14ac:dyDescent="0.4">
      <c r="A1571" t="s">
        <v>1465</v>
      </c>
      <c r="B1571">
        <v>13</v>
      </c>
      <c r="C1571" t="s">
        <v>1676</v>
      </c>
      <c r="D1571" t="s">
        <v>1706</v>
      </c>
      <c r="E1571" t="s">
        <v>1678</v>
      </c>
    </row>
    <row r="1572" spans="1:5" x14ac:dyDescent="0.4">
      <c r="A1572" t="s">
        <v>2597</v>
      </c>
    </row>
    <row r="1573" spans="1:5" x14ac:dyDescent="0.4">
      <c r="A1573" t="s">
        <v>1467</v>
      </c>
      <c r="B1573">
        <v>4</v>
      </c>
      <c r="C1573" t="s">
        <v>1676</v>
      </c>
      <c r="D1573" t="s">
        <v>1726</v>
      </c>
      <c r="E1573" t="s">
        <v>1678</v>
      </c>
    </row>
    <row r="1574" spans="1:5" x14ac:dyDescent="0.4">
      <c r="A1574" t="s">
        <v>1467</v>
      </c>
      <c r="B1574">
        <v>8</v>
      </c>
      <c r="C1574" t="s">
        <v>1676</v>
      </c>
      <c r="D1574" t="s">
        <v>1693</v>
      </c>
      <c r="E1574" t="s">
        <v>1678</v>
      </c>
    </row>
    <row r="1575" spans="1:5" x14ac:dyDescent="0.4">
      <c r="A1575" t="s">
        <v>2598</v>
      </c>
    </row>
    <row r="1576" spans="1:5" x14ac:dyDescent="0.4">
      <c r="A1576" t="s">
        <v>1469</v>
      </c>
      <c r="B1576">
        <v>10</v>
      </c>
      <c r="C1576" t="s">
        <v>1676</v>
      </c>
      <c r="D1576" t="s">
        <v>1995</v>
      </c>
      <c r="E1576" t="s">
        <v>1678</v>
      </c>
    </row>
    <row r="1577" spans="1:5" x14ac:dyDescent="0.4">
      <c r="A1577" t="s">
        <v>2599</v>
      </c>
    </row>
    <row r="1578" spans="1:5" x14ac:dyDescent="0.4">
      <c r="A1578" t="s">
        <v>1471</v>
      </c>
      <c r="B1578">
        <v>2</v>
      </c>
      <c r="C1578" t="s">
        <v>1676</v>
      </c>
      <c r="D1578" t="s">
        <v>1725</v>
      </c>
      <c r="E1578" t="s">
        <v>1678</v>
      </c>
    </row>
    <row r="1579" spans="1:5" x14ac:dyDescent="0.4">
      <c r="A1579" t="s">
        <v>1471</v>
      </c>
      <c r="B1579">
        <v>7</v>
      </c>
      <c r="C1579" t="s">
        <v>1676</v>
      </c>
      <c r="D1579" t="s">
        <v>1702</v>
      </c>
      <c r="E1579" t="s">
        <v>1678</v>
      </c>
    </row>
    <row r="1580" spans="1:5" x14ac:dyDescent="0.4">
      <c r="A1580" t="s">
        <v>2600</v>
      </c>
    </row>
    <row r="1581" spans="1:5" x14ac:dyDescent="0.4">
      <c r="A1581" t="s">
        <v>2601</v>
      </c>
    </row>
    <row r="1582" spans="1:5" x14ac:dyDescent="0.4">
      <c r="A1582" t="s">
        <v>2602</v>
      </c>
    </row>
    <row r="1583" spans="1:5" x14ac:dyDescent="0.4">
      <c r="A1583" t="s">
        <v>1477</v>
      </c>
      <c r="B1583">
        <v>3</v>
      </c>
      <c r="C1583" t="s">
        <v>1676</v>
      </c>
      <c r="D1583" t="s">
        <v>2603</v>
      </c>
      <c r="E1583" t="s">
        <v>1678</v>
      </c>
    </row>
    <row r="1584" spans="1:5" x14ac:dyDescent="0.4">
      <c r="A1584" t="s">
        <v>1477</v>
      </c>
      <c r="B1584">
        <v>16</v>
      </c>
      <c r="C1584" t="s">
        <v>1676</v>
      </c>
      <c r="D1584" t="s">
        <v>1739</v>
      </c>
      <c r="E1584" t="s">
        <v>1678</v>
      </c>
    </row>
    <row r="1585" spans="1:5" x14ac:dyDescent="0.4">
      <c r="A1585" t="s">
        <v>2604</v>
      </c>
    </row>
    <row r="1586" spans="1:5" x14ac:dyDescent="0.4">
      <c r="A1586" t="s">
        <v>1479</v>
      </c>
      <c r="B1586">
        <v>18</v>
      </c>
      <c r="C1586" t="s">
        <v>1676</v>
      </c>
      <c r="D1586" t="s">
        <v>1726</v>
      </c>
      <c r="E1586" t="s">
        <v>1678</v>
      </c>
    </row>
    <row r="1587" spans="1:5" x14ac:dyDescent="0.4">
      <c r="A1587" t="s">
        <v>2605</v>
      </c>
    </row>
    <row r="1588" spans="1:5" x14ac:dyDescent="0.4">
      <c r="A1588" t="s">
        <v>1481</v>
      </c>
      <c r="B1588">
        <v>6</v>
      </c>
      <c r="C1588" t="s">
        <v>1676</v>
      </c>
      <c r="D1588" t="s">
        <v>1864</v>
      </c>
      <c r="E1588" t="s">
        <v>1678</v>
      </c>
    </row>
    <row r="1589" spans="1:5" x14ac:dyDescent="0.4">
      <c r="A1589" t="s">
        <v>2606</v>
      </c>
    </row>
    <row r="1590" spans="1:5" x14ac:dyDescent="0.4">
      <c r="A1590" t="s">
        <v>1483</v>
      </c>
      <c r="B1590">
        <v>2</v>
      </c>
      <c r="C1590" t="s">
        <v>1676</v>
      </c>
      <c r="D1590" t="s">
        <v>1738</v>
      </c>
      <c r="E1590" t="s">
        <v>1678</v>
      </c>
    </row>
    <row r="1591" spans="1:5" x14ac:dyDescent="0.4">
      <c r="A1591" t="s">
        <v>2607</v>
      </c>
    </row>
    <row r="1592" spans="1:5" x14ac:dyDescent="0.4">
      <c r="A1592" t="s">
        <v>1485</v>
      </c>
      <c r="B1592">
        <v>9</v>
      </c>
      <c r="C1592" t="s">
        <v>1676</v>
      </c>
      <c r="D1592" t="s">
        <v>1687</v>
      </c>
      <c r="E1592" t="s">
        <v>1678</v>
      </c>
    </row>
    <row r="1593" spans="1:5" x14ac:dyDescent="0.4">
      <c r="A1593" t="s">
        <v>1485</v>
      </c>
      <c r="B1593">
        <v>19</v>
      </c>
      <c r="C1593" t="s">
        <v>1676</v>
      </c>
      <c r="D1593" t="s">
        <v>1699</v>
      </c>
      <c r="E1593" t="s">
        <v>1678</v>
      </c>
    </row>
    <row r="1594" spans="1:5" x14ac:dyDescent="0.4">
      <c r="A1594" t="s">
        <v>2608</v>
      </c>
    </row>
    <row r="1595" spans="1:5" x14ac:dyDescent="0.4">
      <c r="A1595" t="s">
        <v>1487</v>
      </c>
      <c r="B1595">
        <v>1</v>
      </c>
      <c r="C1595" t="s">
        <v>1676</v>
      </c>
      <c r="D1595" t="s">
        <v>1800</v>
      </c>
      <c r="E1595" t="s">
        <v>1678</v>
      </c>
    </row>
    <row r="1596" spans="1:5" x14ac:dyDescent="0.4">
      <c r="A1596" t="s">
        <v>1487</v>
      </c>
      <c r="B1596">
        <v>4</v>
      </c>
      <c r="C1596" t="s">
        <v>1676</v>
      </c>
      <c r="D1596" t="s">
        <v>2609</v>
      </c>
      <c r="E1596" t="s">
        <v>1678</v>
      </c>
    </row>
    <row r="1597" spans="1:5" x14ac:dyDescent="0.4">
      <c r="A1597" t="s">
        <v>1487</v>
      </c>
      <c r="B1597">
        <v>5</v>
      </c>
      <c r="C1597" t="s">
        <v>1676</v>
      </c>
      <c r="D1597" t="s">
        <v>1694</v>
      </c>
      <c r="E1597" t="s">
        <v>1678</v>
      </c>
    </row>
    <row r="1598" spans="1:5" x14ac:dyDescent="0.4">
      <c r="A1598" t="s">
        <v>2610</v>
      </c>
    </row>
    <row r="1599" spans="1:5" x14ac:dyDescent="0.4">
      <c r="A1599" t="s">
        <v>1489</v>
      </c>
      <c r="B1599">
        <v>1</v>
      </c>
      <c r="C1599" t="s">
        <v>1676</v>
      </c>
      <c r="D1599" t="s">
        <v>1696</v>
      </c>
      <c r="E1599" t="s">
        <v>1678</v>
      </c>
    </row>
    <row r="1600" spans="1:5" x14ac:dyDescent="0.4">
      <c r="A1600" t="s">
        <v>1489</v>
      </c>
      <c r="B1600">
        <v>16</v>
      </c>
      <c r="C1600" t="s">
        <v>1676</v>
      </c>
      <c r="D1600" t="s">
        <v>1705</v>
      </c>
      <c r="E1600" t="s">
        <v>1678</v>
      </c>
    </row>
    <row r="1601" spans="1:5" x14ac:dyDescent="0.4">
      <c r="A1601" t="s">
        <v>2611</v>
      </c>
    </row>
    <row r="1602" spans="1:5" x14ac:dyDescent="0.4">
      <c r="A1602" t="s">
        <v>2612</v>
      </c>
    </row>
    <row r="1603" spans="1:5" x14ac:dyDescent="0.4">
      <c r="A1603" t="s">
        <v>2613</v>
      </c>
    </row>
    <row r="1604" spans="1:5" x14ac:dyDescent="0.4">
      <c r="A1604" t="s">
        <v>2614</v>
      </c>
    </row>
    <row r="1605" spans="1:5" x14ac:dyDescent="0.4">
      <c r="A1605" t="s">
        <v>1497</v>
      </c>
      <c r="B1605">
        <v>11</v>
      </c>
      <c r="C1605" t="s">
        <v>1676</v>
      </c>
      <c r="D1605" t="s">
        <v>1693</v>
      </c>
      <c r="E1605" t="s">
        <v>1678</v>
      </c>
    </row>
    <row r="1606" spans="1:5" x14ac:dyDescent="0.4">
      <c r="A1606" t="s">
        <v>2615</v>
      </c>
    </row>
    <row r="1607" spans="1:5" x14ac:dyDescent="0.4">
      <c r="A1607" t="s">
        <v>1499</v>
      </c>
      <c r="B1607">
        <v>17</v>
      </c>
      <c r="C1607" t="s">
        <v>1676</v>
      </c>
      <c r="D1607" t="s">
        <v>1719</v>
      </c>
      <c r="E1607" t="s">
        <v>1678</v>
      </c>
    </row>
    <row r="1608" spans="1:5" x14ac:dyDescent="0.4">
      <c r="A1608" t="s">
        <v>2616</v>
      </c>
    </row>
    <row r="1609" spans="1:5" x14ac:dyDescent="0.4">
      <c r="A1609" t="s">
        <v>1501</v>
      </c>
      <c r="B1609">
        <v>15</v>
      </c>
      <c r="C1609" t="s">
        <v>1676</v>
      </c>
      <c r="D1609" t="s">
        <v>1839</v>
      </c>
      <c r="E1609" t="s">
        <v>1678</v>
      </c>
    </row>
    <row r="1610" spans="1:5" x14ac:dyDescent="0.4">
      <c r="A1610" t="s">
        <v>1501</v>
      </c>
      <c r="B1610">
        <v>18</v>
      </c>
      <c r="C1610" t="s">
        <v>1676</v>
      </c>
      <c r="D1610" t="s">
        <v>1707</v>
      </c>
      <c r="E1610" t="s">
        <v>1678</v>
      </c>
    </row>
    <row r="1611" spans="1:5" x14ac:dyDescent="0.4">
      <c r="A1611" t="s">
        <v>2617</v>
      </c>
    </row>
    <row r="1612" spans="1:5" x14ac:dyDescent="0.4">
      <c r="A1612" t="s">
        <v>1503</v>
      </c>
      <c r="B1612">
        <v>12</v>
      </c>
      <c r="C1612" t="s">
        <v>1676</v>
      </c>
      <c r="D1612" t="s">
        <v>2618</v>
      </c>
      <c r="E1612" t="s">
        <v>1678</v>
      </c>
    </row>
    <row r="1613" spans="1:5" x14ac:dyDescent="0.4">
      <c r="A1613" t="s">
        <v>2619</v>
      </c>
    </row>
    <row r="1614" spans="1:5" x14ac:dyDescent="0.4">
      <c r="A1614" t="s">
        <v>2620</v>
      </c>
    </row>
    <row r="1615" spans="1:5" x14ac:dyDescent="0.4">
      <c r="A1615" t="s">
        <v>1507</v>
      </c>
      <c r="B1615">
        <v>6</v>
      </c>
      <c r="C1615" t="s">
        <v>1676</v>
      </c>
      <c r="D1615" t="s">
        <v>1945</v>
      </c>
      <c r="E1615" t="s">
        <v>1678</v>
      </c>
    </row>
    <row r="1616" spans="1:5" x14ac:dyDescent="0.4">
      <c r="A1616" t="s">
        <v>1507</v>
      </c>
      <c r="B1616">
        <v>12</v>
      </c>
      <c r="C1616" t="s">
        <v>1676</v>
      </c>
      <c r="D1616" t="s">
        <v>1708</v>
      </c>
      <c r="E1616" t="s">
        <v>1678</v>
      </c>
    </row>
    <row r="1617" spans="1:5" x14ac:dyDescent="0.4">
      <c r="A1617" t="s">
        <v>1507</v>
      </c>
      <c r="B1617">
        <v>21</v>
      </c>
      <c r="C1617" t="s">
        <v>1676</v>
      </c>
      <c r="D1617" t="s">
        <v>1926</v>
      </c>
      <c r="E1617" t="s">
        <v>1678</v>
      </c>
    </row>
    <row r="1618" spans="1:5" x14ac:dyDescent="0.4">
      <c r="A1618" t="s">
        <v>2621</v>
      </c>
    </row>
    <row r="1619" spans="1:5" x14ac:dyDescent="0.4">
      <c r="A1619" t="s">
        <v>1509</v>
      </c>
      <c r="B1619">
        <v>14</v>
      </c>
      <c r="C1619" t="s">
        <v>1676</v>
      </c>
      <c r="D1619" t="s">
        <v>1681</v>
      </c>
      <c r="E1619" t="s">
        <v>1678</v>
      </c>
    </row>
    <row r="1620" spans="1:5" x14ac:dyDescent="0.4">
      <c r="A1620" t="s">
        <v>2622</v>
      </c>
    </row>
    <row r="1621" spans="1:5" x14ac:dyDescent="0.4">
      <c r="A1621" t="s">
        <v>2623</v>
      </c>
    </row>
    <row r="1622" spans="1:5" x14ac:dyDescent="0.4">
      <c r="A1622" t="s">
        <v>2624</v>
      </c>
    </row>
    <row r="1623" spans="1:5" x14ac:dyDescent="0.4">
      <c r="A1623" t="s">
        <v>2625</v>
      </c>
    </row>
    <row r="1624" spans="1:5" x14ac:dyDescent="0.4">
      <c r="A1624" t="s">
        <v>2626</v>
      </c>
    </row>
    <row r="1625" spans="1:5" x14ac:dyDescent="0.4">
      <c r="A1625" t="s">
        <v>1519</v>
      </c>
      <c r="B1625">
        <v>12</v>
      </c>
      <c r="C1625" t="s">
        <v>1676</v>
      </c>
      <c r="D1625" t="s">
        <v>1739</v>
      </c>
      <c r="E1625" t="s">
        <v>1678</v>
      </c>
    </row>
    <row r="1626" spans="1:5" x14ac:dyDescent="0.4">
      <c r="A1626" t="s">
        <v>2627</v>
      </c>
    </row>
    <row r="1627" spans="1:5" x14ac:dyDescent="0.4">
      <c r="A1627" t="s">
        <v>1521</v>
      </c>
      <c r="B1627">
        <v>2</v>
      </c>
      <c r="C1627" t="s">
        <v>1676</v>
      </c>
      <c r="D1627" t="s">
        <v>1744</v>
      </c>
      <c r="E1627" t="s">
        <v>1678</v>
      </c>
    </row>
    <row r="1628" spans="1:5" x14ac:dyDescent="0.4">
      <c r="A1628" t="s">
        <v>1521</v>
      </c>
      <c r="B1628">
        <v>5</v>
      </c>
      <c r="C1628" t="s">
        <v>1676</v>
      </c>
      <c r="D1628" t="s">
        <v>1810</v>
      </c>
      <c r="E1628" t="s">
        <v>1678</v>
      </c>
    </row>
    <row r="1629" spans="1:5" x14ac:dyDescent="0.4">
      <c r="A1629" t="s">
        <v>1521</v>
      </c>
      <c r="B1629">
        <v>11</v>
      </c>
      <c r="C1629" t="s">
        <v>1676</v>
      </c>
      <c r="D1629" t="s">
        <v>2603</v>
      </c>
      <c r="E1629" t="s">
        <v>1678</v>
      </c>
    </row>
    <row r="1630" spans="1:5" x14ac:dyDescent="0.4">
      <c r="A1630" t="s">
        <v>2628</v>
      </c>
    </row>
    <row r="1631" spans="1:5" x14ac:dyDescent="0.4">
      <c r="A1631" t="s">
        <v>2629</v>
      </c>
    </row>
    <row r="1632" spans="1:5" x14ac:dyDescent="0.4">
      <c r="A1632" t="s">
        <v>1525</v>
      </c>
      <c r="B1632">
        <v>1</v>
      </c>
      <c r="C1632" t="s">
        <v>1676</v>
      </c>
      <c r="D1632" t="s">
        <v>1706</v>
      </c>
      <c r="E1632" t="s">
        <v>1678</v>
      </c>
    </row>
    <row r="1633" spans="1:5" x14ac:dyDescent="0.4">
      <c r="A1633" t="s">
        <v>2630</v>
      </c>
    </row>
    <row r="1634" spans="1:5" x14ac:dyDescent="0.4">
      <c r="A1634" t="s">
        <v>1527</v>
      </c>
      <c r="B1634">
        <v>3</v>
      </c>
      <c r="C1634" t="s">
        <v>1676</v>
      </c>
      <c r="D1634" t="s">
        <v>2178</v>
      </c>
      <c r="E1634" t="s">
        <v>1678</v>
      </c>
    </row>
    <row r="1635" spans="1:5" x14ac:dyDescent="0.4">
      <c r="A1635" t="s">
        <v>1527</v>
      </c>
      <c r="B1635">
        <v>6</v>
      </c>
      <c r="C1635" t="s">
        <v>1676</v>
      </c>
      <c r="D1635" t="s">
        <v>1738</v>
      </c>
      <c r="E1635" t="s">
        <v>1678</v>
      </c>
    </row>
    <row r="1636" spans="1:5" x14ac:dyDescent="0.4">
      <c r="A1636" t="s">
        <v>1527</v>
      </c>
      <c r="B1636">
        <v>10</v>
      </c>
      <c r="C1636" t="s">
        <v>1676</v>
      </c>
      <c r="D1636" t="s">
        <v>1749</v>
      </c>
      <c r="E1636" t="s">
        <v>1678</v>
      </c>
    </row>
    <row r="1637" spans="1:5" x14ac:dyDescent="0.4">
      <c r="A1637" t="s">
        <v>2631</v>
      </c>
    </row>
    <row r="1638" spans="1:5" x14ac:dyDescent="0.4">
      <c r="A1638" t="s">
        <v>2632</v>
      </c>
    </row>
    <row r="1639" spans="1:5" x14ac:dyDescent="0.4">
      <c r="A1639" t="s">
        <v>1531</v>
      </c>
      <c r="B1639">
        <v>7</v>
      </c>
      <c r="C1639" t="s">
        <v>1676</v>
      </c>
      <c r="D1639" t="s">
        <v>1682</v>
      </c>
      <c r="E1639" t="s">
        <v>1678</v>
      </c>
    </row>
    <row r="1640" spans="1:5" x14ac:dyDescent="0.4">
      <c r="A1640" t="s">
        <v>1531</v>
      </c>
      <c r="B1640">
        <v>13</v>
      </c>
      <c r="C1640" t="s">
        <v>1676</v>
      </c>
      <c r="D1640" t="s">
        <v>1696</v>
      </c>
      <c r="E1640" t="s">
        <v>1678</v>
      </c>
    </row>
    <row r="1641" spans="1:5" x14ac:dyDescent="0.4">
      <c r="A1641" t="s">
        <v>2633</v>
      </c>
    </row>
    <row r="1642" spans="1:5" x14ac:dyDescent="0.4">
      <c r="A1642" t="s">
        <v>1533</v>
      </c>
      <c r="B1642">
        <v>1</v>
      </c>
      <c r="C1642" t="s">
        <v>1676</v>
      </c>
      <c r="D1642" t="s">
        <v>1864</v>
      </c>
      <c r="E1642" t="s">
        <v>1678</v>
      </c>
    </row>
    <row r="1643" spans="1:5" x14ac:dyDescent="0.4">
      <c r="A1643" t="s">
        <v>2634</v>
      </c>
    </row>
    <row r="1644" spans="1:5" x14ac:dyDescent="0.4">
      <c r="A1644" t="s">
        <v>1535</v>
      </c>
      <c r="B1644">
        <v>4</v>
      </c>
      <c r="C1644" t="s">
        <v>1676</v>
      </c>
      <c r="D1644" t="s">
        <v>1912</v>
      </c>
      <c r="E1644" t="s">
        <v>1678</v>
      </c>
    </row>
    <row r="1645" spans="1:5" x14ac:dyDescent="0.4">
      <c r="A1645" t="s">
        <v>2635</v>
      </c>
    </row>
    <row r="1646" spans="1:5" x14ac:dyDescent="0.4">
      <c r="A1646" t="s">
        <v>1537</v>
      </c>
      <c r="B1646">
        <v>6</v>
      </c>
      <c r="C1646" t="s">
        <v>1676</v>
      </c>
      <c r="D1646" t="s">
        <v>1785</v>
      </c>
      <c r="E1646" t="s">
        <v>1678</v>
      </c>
    </row>
    <row r="1647" spans="1:5" x14ac:dyDescent="0.4">
      <c r="A1647" t="s">
        <v>2636</v>
      </c>
    </row>
    <row r="1648" spans="1:5" x14ac:dyDescent="0.4">
      <c r="A1648" t="s">
        <v>1539</v>
      </c>
      <c r="B1648">
        <v>1</v>
      </c>
      <c r="C1648" t="s">
        <v>1676</v>
      </c>
      <c r="D1648" t="s">
        <v>1687</v>
      </c>
      <c r="E1648" t="s">
        <v>1678</v>
      </c>
    </row>
    <row r="1649" spans="1:5" x14ac:dyDescent="0.4">
      <c r="A1649" t="s">
        <v>1539</v>
      </c>
      <c r="B1649">
        <v>16</v>
      </c>
      <c r="C1649" t="s">
        <v>1676</v>
      </c>
      <c r="D1649" t="s">
        <v>1897</v>
      </c>
      <c r="E1649" t="s">
        <v>1678</v>
      </c>
    </row>
    <row r="1650" spans="1:5" x14ac:dyDescent="0.4">
      <c r="A1650" t="s">
        <v>2637</v>
      </c>
    </row>
    <row r="1651" spans="1:5" x14ac:dyDescent="0.4">
      <c r="A1651" t="s">
        <v>1541</v>
      </c>
      <c r="B1651">
        <v>14</v>
      </c>
      <c r="C1651" t="s">
        <v>1676</v>
      </c>
      <c r="D1651" t="s">
        <v>2081</v>
      </c>
      <c r="E1651" t="s">
        <v>1678</v>
      </c>
    </row>
    <row r="1652" spans="1:5" x14ac:dyDescent="0.4">
      <c r="A1652" t="s">
        <v>2638</v>
      </c>
    </row>
    <row r="1653" spans="1:5" x14ac:dyDescent="0.4">
      <c r="A1653" t="s">
        <v>1543</v>
      </c>
      <c r="B1653">
        <v>16</v>
      </c>
      <c r="C1653" t="s">
        <v>1676</v>
      </c>
      <c r="D1653" t="s">
        <v>2639</v>
      </c>
      <c r="E1653" t="s">
        <v>1678</v>
      </c>
    </row>
    <row r="1654" spans="1:5" x14ac:dyDescent="0.4">
      <c r="A1654" t="s">
        <v>2640</v>
      </c>
    </row>
    <row r="1655" spans="1:5" x14ac:dyDescent="0.4">
      <c r="A1655" t="s">
        <v>1545</v>
      </c>
      <c r="B1655">
        <v>13</v>
      </c>
      <c r="C1655" t="s">
        <v>1676</v>
      </c>
      <c r="D1655" t="s">
        <v>2057</v>
      </c>
      <c r="E1655" t="s">
        <v>1678</v>
      </c>
    </row>
    <row r="1656" spans="1:5" x14ac:dyDescent="0.4">
      <c r="A1656" t="s">
        <v>1545</v>
      </c>
      <c r="B1656">
        <v>21</v>
      </c>
      <c r="C1656" t="s">
        <v>1676</v>
      </c>
      <c r="D1656" t="s">
        <v>1924</v>
      </c>
      <c r="E1656" t="s">
        <v>1678</v>
      </c>
    </row>
    <row r="1657" spans="1:5" x14ac:dyDescent="0.4">
      <c r="A1657" t="s">
        <v>2641</v>
      </c>
    </row>
    <row r="1658" spans="1:5" x14ac:dyDescent="0.4">
      <c r="A1658" t="s">
        <v>2642</v>
      </c>
    </row>
    <row r="1659" spans="1:5" x14ac:dyDescent="0.4">
      <c r="A1659" t="s">
        <v>1549</v>
      </c>
      <c r="B1659">
        <v>10</v>
      </c>
      <c r="C1659" t="s">
        <v>1676</v>
      </c>
      <c r="D1659" t="s">
        <v>2110</v>
      </c>
      <c r="E1659" t="s">
        <v>1678</v>
      </c>
    </row>
    <row r="1660" spans="1:5" x14ac:dyDescent="0.4">
      <c r="A1660" t="s">
        <v>2643</v>
      </c>
    </row>
    <row r="1661" spans="1:5" x14ac:dyDescent="0.4">
      <c r="A1661" t="s">
        <v>1551</v>
      </c>
      <c r="B1661">
        <v>6</v>
      </c>
      <c r="C1661" t="s">
        <v>1676</v>
      </c>
      <c r="D1661" t="s">
        <v>2644</v>
      </c>
      <c r="E1661" t="s">
        <v>1678</v>
      </c>
    </row>
    <row r="1662" spans="1:5" x14ac:dyDescent="0.4">
      <c r="A1662" t="s">
        <v>1551</v>
      </c>
      <c r="B1662">
        <v>11</v>
      </c>
      <c r="C1662" t="s">
        <v>1676</v>
      </c>
      <c r="D1662" t="s">
        <v>2380</v>
      </c>
      <c r="E1662" t="s">
        <v>1678</v>
      </c>
    </row>
    <row r="1663" spans="1:5" x14ac:dyDescent="0.4">
      <c r="A1663" t="s">
        <v>1551</v>
      </c>
      <c r="B1663">
        <v>16</v>
      </c>
      <c r="C1663" t="s">
        <v>1676</v>
      </c>
      <c r="D1663" t="s">
        <v>1688</v>
      </c>
      <c r="E1663" t="s">
        <v>1678</v>
      </c>
    </row>
    <row r="1664" spans="1:5" x14ac:dyDescent="0.4">
      <c r="A1664" t="s">
        <v>1551</v>
      </c>
      <c r="B1664">
        <v>19</v>
      </c>
      <c r="C1664" t="s">
        <v>1676</v>
      </c>
      <c r="D1664" t="s">
        <v>1702</v>
      </c>
      <c r="E1664" t="s">
        <v>1678</v>
      </c>
    </row>
    <row r="1665" spans="1:5" x14ac:dyDescent="0.4">
      <c r="A1665" t="s">
        <v>2645</v>
      </c>
    </row>
    <row r="1666" spans="1:5" x14ac:dyDescent="0.4">
      <c r="A1666" t="s">
        <v>2646</v>
      </c>
    </row>
    <row r="1667" spans="1:5" x14ac:dyDescent="0.4">
      <c r="A1667" t="s">
        <v>1555</v>
      </c>
      <c r="B1667">
        <v>10</v>
      </c>
      <c r="C1667" t="s">
        <v>1676</v>
      </c>
      <c r="D1667" t="s">
        <v>1744</v>
      </c>
      <c r="E1667" t="s">
        <v>1678</v>
      </c>
    </row>
    <row r="1668" spans="1:5" x14ac:dyDescent="0.4">
      <c r="A1668" t="s">
        <v>1555</v>
      </c>
      <c r="B1668">
        <v>11</v>
      </c>
      <c r="C1668" t="s">
        <v>1676</v>
      </c>
      <c r="D1668" t="s">
        <v>1690</v>
      </c>
      <c r="E1668" t="s">
        <v>1678</v>
      </c>
    </row>
    <row r="1669" spans="1:5" x14ac:dyDescent="0.4">
      <c r="A1669" t="s">
        <v>2647</v>
      </c>
    </row>
    <row r="1670" spans="1:5" x14ac:dyDescent="0.4">
      <c r="A1670" t="s">
        <v>1557</v>
      </c>
      <c r="B1670">
        <v>6</v>
      </c>
      <c r="C1670" t="s">
        <v>1676</v>
      </c>
      <c r="D1670" t="s">
        <v>1704</v>
      </c>
      <c r="E1670" t="s">
        <v>1678</v>
      </c>
    </row>
    <row r="1671" spans="1:5" x14ac:dyDescent="0.4">
      <c r="A1671" t="s">
        <v>2648</v>
      </c>
    </row>
    <row r="1672" spans="1:5" x14ac:dyDescent="0.4">
      <c r="A1672" t="s">
        <v>1559</v>
      </c>
      <c r="B1672">
        <v>15</v>
      </c>
      <c r="C1672" t="s">
        <v>1676</v>
      </c>
      <c r="D1672" t="s">
        <v>1800</v>
      </c>
      <c r="E1672" t="s">
        <v>1678</v>
      </c>
    </row>
    <row r="1673" spans="1:5" x14ac:dyDescent="0.4">
      <c r="A1673" t="s">
        <v>2649</v>
      </c>
    </row>
    <row r="1674" spans="1:5" x14ac:dyDescent="0.4">
      <c r="A1674" t="s">
        <v>2650</v>
      </c>
    </row>
    <row r="1675" spans="1:5" x14ac:dyDescent="0.4">
      <c r="A1675" t="s">
        <v>2651</v>
      </c>
    </row>
    <row r="1676" spans="1:5" x14ac:dyDescent="0.4">
      <c r="A1676" t="s">
        <v>1565</v>
      </c>
      <c r="B1676">
        <v>5</v>
      </c>
      <c r="C1676" t="s">
        <v>1676</v>
      </c>
      <c r="D1676" t="s">
        <v>2081</v>
      </c>
      <c r="E1676" t="s">
        <v>1678</v>
      </c>
    </row>
    <row r="1677" spans="1:5" x14ac:dyDescent="0.4">
      <c r="A1677" t="s">
        <v>2652</v>
      </c>
    </row>
    <row r="1678" spans="1:5" x14ac:dyDescent="0.4">
      <c r="A1678" t="s">
        <v>2653</v>
      </c>
    </row>
    <row r="1679" spans="1:5" x14ac:dyDescent="0.4">
      <c r="A1679" t="s">
        <v>2654</v>
      </c>
    </row>
    <row r="1680" spans="1:5" x14ac:dyDescent="0.4">
      <c r="A1680" t="s">
        <v>1571</v>
      </c>
      <c r="B1680">
        <v>6</v>
      </c>
      <c r="C1680" t="s">
        <v>1676</v>
      </c>
      <c r="D1680" t="s">
        <v>1683</v>
      </c>
      <c r="E1680" t="s">
        <v>1678</v>
      </c>
    </row>
    <row r="1681" spans="1:5" x14ac:dyDescent="0.4">
      <c r="A1681" t="s">
        <v>1571</v>
      </c>
      <c r="B1681">
        <v>9</v>
      </c>
      <c r="C1681" t="s">
        <v>1676</v>
      </c>
      <c r="D1681" t="s">
        <v>2081</v>
      </c>
      <c r="E1681" t="s">
        <v>1678</v>
      </c>
    </row>
    <row r="1682" spans="1:5" x14ac:dyDescent="0.4">
      <c r="A1682" t="s">
        <v>1571</v>
      </c>
      <c r="B1682">
        <v>11</v>
      </c>
      <c r="C1682" t="s">
        <v>1676</v>
      </c>
      <c r="D1682" t="s">
        <v>1689</v>
      </c>
      <c r="E1682" t="s">
        <v>1678</v>
      </c>
    </row>
    <row r="1683" spans="1:5" x14ac:dyDescent="0.4">
      <c r="A1683" t="s">
        <v>2655</v>
      </c>
    </row>
    <row r="1684" spans="1:5" x14ac:dyDescent="0.4">
      <c r="A1684" t="s">
        <v>1573</v>
      </c>
      <c r="B1684">
        <v>13</v>
      </c>
      <c r="C1684" t="s">
        <v>1676</v>
      </c>
      <c r="D1684" t="s">
        <v>1726</v>
      </c>
      <c r="E1684" t="s">
        <v>1678</v>
      </c>
    </row>
    <row r="1685" spans="1:5" x14ac:dyDescent="0.4">
      <c r="A1685" t="s">
        <v>1573</v>
      </c>
      <c r="B1685">
        <v>14</v>
      </c>
      <c r="C1685" t="s">
        <v>1676</v>
      </c>
      <c r="D1685" t="s">
        <v>2141</v>
      </c>
      <c r="E1685" t="s">
        <v>1678</v>
      </c>
    </row>
    <row r="1686" spans="1:5" x14ac:dyDescent="0.4">
      <c r="A1686" t="s">
        <v>2656</v>
      </c>
    </row>
    <row r="1687" spans="1:5" x14ac:dyDescent="0.4">
      <c r="A1687" t="s">
        <v>1575</v>
      </c>
      <c r="B1687">
        <v>14</v>
      </c>
      <c r="C1687" t="s">
        <v>1676</v>
      </c>
      <c r="D1687" t="s">
        <v>1708</v>
      </c>
      <c r="E1687" t="s">
        <v>1678</v>
      </c>
    </row>
    <row r="1688" spans="1:5" x14ac:dyDescent="0.4">
      <c r="A1688" t="s">
        <v>1575</v>
      </c>
      <c r="B1688">
        <v>18</v>
      </c>
      <c r="C1688" t="s">
        <v>1676</v>
      </c>
      <c r="D1688" t="s">
        <v>1698</v>
      </c>
      <c r="E1688" t="s">
        <v>1678</v>
      </c>
    </row>
    <row r="1689" spans="1:5" x14ac:dyDescent="0.4">
      <c r="A1689" t="s">
        <v>2657</v>
      </c>
    </row>
    <row r="1690" spans="1:5" x14ac:dyDescent="0.4">
      <c r="A1690" t="s">
        <v>2658</v>
      </c>
    </row>
    <row r="1691" spans="1:5" x14ac:dyDescent="0.4">
      <c r="A1691" t="s">
        <v>2659</v>
      </c>
    </row>
    <row r="1692" spans="1:5" x14ac:dyDescent="0.4">
      <c r="A1692" t="s">
        <v>2660</v>
      </c>
    </row>
    <row r="1693" spans="1:5" x14ac:dyDescent="0.4">
      <c r="A1693" t="s">
        <v>2661</v>
      </c>
    </row>
    <row r="1694" spans="1:5" x14ac:dyDescent="0.4">
      <c r="A1694" t="s">
        <v>1585</v>
      </c>
      <c r="B1694">
        <v>11</v>
      </c>
      <c r="C1694" t="s">
        <v>1676</v>
      </c>
      <c r="D1694" t="s">
        <v>1706</v>
      </c>
      <c r="E1694" t="s">
        <v>1678</v>
      </c>
    </row>
    <row r="1695" spans="1:5" x14ac:dyDescent="0.4">
      <c r="A1695" t="s">
        <v>2662</v>
      </c>
    </row>
    <row r="1696" spans="1:5" x14ac:dyDescent="0.4">
      <c r="A1696" t="s">
        <v>1587</v>
      </c>
      <c r="B1696">
        <v>4</v>
      </c>
      <c r="C1696" t="s">
        <v>1676</v>
      </c>
      <c r="D1696" t="s">
        <v>1683</v>
      </c>
      <c r="E1696" t="s">
        <v>1678</v>
      </c>
    </row>
    <row r="1697" spans="1:5" x14ac:dyDescent="0.4">
      <c r="A1697" t="s">
        <v>1587</v>
      </c>
      <c r="B1697">
        <v>16</v>
      </c>
      <c r="C1697" t="s">
        <v>1676</v>
      </c>
      <c r="D1697" t="s">
        <v>1705</v>
      </c>
      <c r="E1697" t="s">
        <v>1678</v>
      </c>
    </row>
    <row r="1698" spans="1:5" x14ac:dyDescent="0.4">
      <c r="A1698" t="s">
        <v>2663</v>
      </c>
    </row>
    <row r="1699" spans="1:5" x14ac:dyDescent="0.4">
      <c r="A1699" t="s">
        <v>2664</v>
      </c>
    </row>
    <row r="1700" spans="1:5" x14ac:dyDescent="0.4">
      <c r="A1700" t="s">
        <v>1591</v>
      </c>
      <c r="B1700">
        <v>2</v>
      </c>
      <c r="C1700" t="s">
        <v>1676</v>
      </c>
      <c r="D1700" t="s">
        <v>1682</v>
      </c>
      <c r="E1700" t="s">
        <v>1678</v>
      </c>
    </row>
    <row r="1701" spans="1:5" x14ac:dyDescent="0.4">
      <c r="A1701" t="s">
        <v>1591</v>
      </c>
      <c r="B1701">
        <v>21</v>
      </c>
      <c r="C1701" t="s">
        <v>1676</v>
      </c>
      <c r="D1701" t="s">
        <v>2100</v>
      </c>
      <c r="E1701" t="s">
        <v>1678</v>
      </c>
    </row>
    <row r="1702" spans="1:5" x14ac:dyDescent="0.4">
      <c r="A1702" t="s">
        <v>2665</v>
      </c>
    </row>
    <row r="1703" spans="1:5" x14ac:dyDescent="0.4">
      <c r="A1703" t="s">
        <v>1593</v>
      </c>
      <c r="B1703">
        <v>1</v>
      </c>
      <c r="C1703" t="s">
        <v>1676</v>
      </c>
      <c r="D1703" t="s">
        <v>1681</v>
      </c>
      <c r="E1703" t="s">
        <v>1678</v>
      </c>
    </row>
    <row r="1704" spans="1:5" x14ac:dyDescent="0.4">
      <c r="A1704" t="s">
        <v>1593</v>
      </c>
      <c r="B1704">
        <v>6</v>
      </c>
      <c r="C1704" t="s">
        <v>1676</v>
      </c>
      <c r="D1704" t="s">
        <v>1719</v>
      </c>
      <c r="E1704" t="s">
        <v>1678</v>
      </c>
    </row>
    <row r="1705" spans="1:5" x14ac:dyDescent="0.4">
      <c r="A1705" t="s">
        <v>1593</v>
      </c>
      <c r="B1705">
        <v>16</v>
      </c>
      <c r="C1705" t="s">
        <v>1676</v>
      </c>
      <c r="D1705" t="s">
        <v>1690</v>
      </c>
      <c r="E1705" t="s">
        <v>1678</v>
      </c>
    </row>
    <row r="1706" spans="1:5" x14ac:dyDescent="0.4">
      <c r="A1706" t="s">
        <v>2666</v>
      </c>
    </row>
    <row r="1707" spans="1:5" x14ac:dyDescent="0.4">
      <c r="A1707" t="s">
        <v>2667</v>
      </c>
    </row>
    <row r="1708" spans="1:5" x14ac:dyDescent="0.4">
      <c r="A1708" t="s">
        <v>1597</v>
      </c>
      <c r="B1708">
        <v>17</v>
      </c>
      <c r="C1708" t="s">
        <v>1676</v>
      </c>
      <c r="D1708" t="s">
        <v>1687</v>
      </c>
      <c r="E1708" t="s">
        <v>1678</v>
      </c>
    </row>
    <row r="1709" spans="1:5" x14ac:dyDescent="0.4">
      <c r="A1709" t="s">
        <v>2668</v>
      </c>
    </row>
    <row r="1710" spans="1:5" x14ac:dyDescent="0.4">
      <c r="A1710" t="s">
        <v>2669</v>
      </c>
    </row>
    <row r="1711" spans="1:5" x14ac:dyDescent="0.4">
      <c r="A1711" t="s">
        <v>2670</v>
      </c>
    </row>
    <row r="1712" spans="1:5" x14ac:dyDescent="0.4">
      <c r="A1712" t="s">
        <v>1603</v>
      </c>
      <c r="B1712">
        <v>5</v>
      </c>
      <c r="C1712" t="s">
        <v>1676</v>
      </c>
      <c r="D1712" t="s">
        <v>1734</v>
      </c>
      <c r="E1712" t="s">
        <v>1678</v>
      </c>
    </row>
    <row r="1713" spans="1:5" x14ac:dyDescent="0.4">
      <c r="A1713" t="s">
        <v>1603</v>
      </c>
      <c r="B1713">
        <v>15</v>
      </c>
      <c r="C1713" t="s">
        <v>1676</v>
      </c>
      <c r="D1713" t="s">
        <v>2081</v>
      </c>
      <c r="E1713" t="s">
        <v>1678</v>
      </c>
    </row>
    <row r="1714" spans="1:5" x14ac:dyDescent="0.4">
      <c r="A1714" t="s">
        <v>2671</v>
      </c>
    </row>
    <row r="1715" spans="1:5" x14ac:dyDescent="0.4">
      <c r="A1715" t="s">
        <v>2672</v>
      </c>
    </row>
    <row r="1716" spans="1:5" x14ac:dyDescent="0.4">
      <c r="A1716" t="s">
        <v>2673</v>
      </c>
    </row>
    <row r="1717" spans="1:5" x14ac:dyDescent="0.4">
      <c r="A1717" t="s">
        <v>1609</v>
      </c>
      <c r="B1717">
        <v>10</v>
      </c>
      <c r="C1717" t="s">
        <v>1676</v>
      </c>
      <c r="D1717" t="s">
        <v>1719</v>
      </c>
      <c r="E1717" t="s">
        <v>1678</v>
      </c>
    </row>
    <row r="1718" spans="1:5" x14ac:dyDescent="0.4">
      <c r="A1718" t="s">
        <v>1609</v>
      </c>
      <c r="B1718">
        <v>11</v>
      </c>
      <c r="C1718" t="s">
        <v>1676</v>
      </c>
      <c r="D1718" t="s">
        <v>1690</v>
      </c>
      <c r="E1718" t="s">
        <v>1678</v>
      </c>
    </row>
    <row r="1719" spans="1:5" x14ac:dyDescent="0.4">
      <c r="A1719" t="s">
        <v>1609</v>
      </c>
      <c r="B1719">
        <v>20</v>
      </c>
      <c r="C1719" t="s">
        <v>1676</v>
      </c>
      <c r="D1719" t="s">
        <v>1749</v>
      </c>
      <c r="E1719" t="s">
        <v>1678</v>
      </c>
    </row>
    <row r="1720" spans="1:5" x14ac:dyDescent="0.4">
      <c r="A1720" t="s">
        <v>1609</v>
      </c>
      <c r="B1720">
        <v>21</v>
      </c>
      <c r="C1720" t="s">
        <v>1676</v>
      </c>
      <c r="D1720" t="s">
        <v>1749</v>
      </c>
      <c r="E1720" t="s">
        <v>1678</v>
      </c>
    </row>
    <row r="1721" spans="1:5" x14ac:dyDescent="0.4">
      <c r="A1721" t="s">
        <v>2674</v>
      </c>
    </row>
    <row r="1722" spans="1:5" x14ac:dyDescent="0.4">
      <c r="A1722" t="s">
        <v>1611</v>
      </c>
      <c r="B1722">
        <v>16</v>
      </c>
      <c r="C1722" t="s">
        <v>1676</v>
      </c>
      <c r="D1722" t="s">
        <v>1829</v>
      </c>
      <c r="E1722" t="s">
        <v>1678</v>
      </c>
    </row>
    <row r="1723" spans="1:5" x14ac:dyDescent="0.4">
      <c r="A1723" t="s">
        <v>2675</v>
      </c>
    </row>
    <row r="1724" spans="1:5" x14ac:dyDescent="0.4">
      <c r="A1724" t="s">
        <v>2676</v>
      </c>
    </row>
    <row r="1725" spans="1:5" x14ac:dyDescent="0.4">
      <c r="A1725" t="s">
        <v>1615</v>
      </c>
      <c r="B1725">
        <v>10</v>
      </c>
      <c r="C1725" t="s">
        <v>1676</v>
      </c>
      <c r="D1725" t="s">
        <v>2110</v>
      </c>
      <c r="E1725" t="s">
        <v>1678</v>
      </c>
    </row>
    <row r="1726" spans="1:5" x14ac:dyDescent="0.4">
      <c r="A1726" t="s">
        <v>1615</v>
      </c>
      <c r="B1726">
        <v>15</v>
      </c>
      <c r="C1726" t="s">
        <v>1676</v>
      </c>
      <c r="D1726" t="s">
        <v>2110</v>
      </c>
      <c r="E1726" t="s">
        <v>1678</v>
      </c>
    </row>
    <row r="1727" spans="1:5" x14ac:dyDescent="0.4">
      <c r="A1727" t="s">
        <v>1615</v>
      </c>
      <c r="B1727">
        <v>21</v>
      </c>
      <c r="C1727" t="s">
        <v>1676</v>
      </c>
      <c r="D1727" t="s">
        <v>1790</v>
      </c>
      <c r="E1727" t="s">
        <v>1678</v>
      </c>
    </row>
    <row r="1728" spans="1:5" x14ac:dyDescent="0.4">
      <c r="A1728" t="s">
        <v>2677</v>
      </c>
    </row>
    <row r="1729" spans="1:5" x14ac:dyDescent="0.4">
      <c r="A1729" t="s">
        <v>1617</v>
      </c>
      <c r="B1729">
        <v>6</v>
      </c>
      <c r="C1729" t="s">
        <v>1676</v>
      </c>
      <c r="D1729" t="s">
        <v>1681</v>
      </c>
      <c r="E1729" t="s">
        <v>1678</v>
      </c>
    </row>
    <row r="1730" spans="1:5" x14ac:dyDescent="0.4">
      <c r="A1730" t="s">
        <v>1617</v>
      </c>
      <c r="B1730">
        <v>16</v>
      </c>
      <c r="C1730" t="s">
        <v>1676</v>
      </c>
      <c r="D1730" t="s">
        <v>1719</v>
      </c>
      <c r="E1730" t="s">
        <v>1678</v>
      </c>
    </row>
    <row r="1731" spans="1:5" x14ac:dyDescent="0.4">
      <c r="A1731" t="s">
        <v>2678</v>
      </c>
    </row>
    <row r="1732" spans="1:5" x14ac:dyDescent="0.4">
      <c r="A1732" t="s">
        <v>2679</v>
      </c>
    </row>
    <row r="1733" spans="1:5" x14ac:dyDescent="0.4">
      <c r="A1733" t="s">
        <v>1621</v>
      </c>
      <c r="B1733">
        <v>11</v>
      </c>
      <c r="C1733" t="s">
        <v>1676</v>
      </c>
      <c r="D1733" t="s">
        <v>1969</v>
      </c>
      <c r="E1733" t="s">
        <v>1678</v>
      </c>
    </row>
    <row r="1734" spans="1:5" x14ac:dyDescent="0.4">
      <c r="A1734" t="s">
        <v>1621</v>
      </c>
      <c r="B1734">
        <v>16</v>
      </c>
      <c r="C1734" t="s">
        <v>1676</v>
      </c>
      <c r="D1734" t="s">
        <v>1699</v>
      </c>
      <c r="E1734" t="s">
        <v>1678</v>
      </c>
    </row>
    <row r="1735" spans="1:5" x14ac:dyDescent="0.4">
      <c r="A1735" t="s">
        <v>1621</v>
      </c>
      <c r="B1735">
        <v>20</v>
      </c>
      <c r="C1735" t="s">
        <v>1676</v>
      </c>
      <c r="D1735" t="s">
        <v>1815</v>
      </c>
      <c r="E1735" t="s">
        <v>1678</v>
      </c>
    </row>
    <row r="1736" spans="1:5" x14ac:dyDescent="0.4">
      <c r="A1736" t="s">
        <v>2680</v>
      </c>
    </row>
    <row r="1737" spans="1:5" x14ac:dyDescent="0.4">
      <c r="A1737" t="s">
        <v>1623</v>
      </c>
      <c r="B1737">
        <v>16</v>
      </c>
      <c r="C1737" t="s">
        <v>1676</v>
      </c>
      <c r="D1737" t="s">
        <v>2100</v>
      </c>
      <c r="E1737" t="s">
        <v>1678</v>
      </c>
    </row>
    <row r="1738" spans="1:5" x14ac:dyDescent="0.4">
      <c r="A1738" t="s">
        <v>1623</v>
      </c>
      <c r="B1738">
        <v>21</v>
      </c>
      <c r="C1738" t="s">
        <v>1676</v>
      </c>
      <c r="D1738" t="s">
        <v>2100</v>
      </c>
      <c r="E1738" t="s">
        <v>1678</v>
      </c>
    </row>
    <row r="1739" spans="1:5" x14ac:dyDescent="0.4">
      <c r="A1739" t="s">
        <v>2681</v>
      </c>
    </row>
    <row r="1740" spans="1:5" x14ac:dyDescent="0.4">
      <c r="A1740" t="s">
        <v>1625</v>
      </c>
      <c r="B1740">
        <v>13</v>
      </c>
      <c r="C1740" t="s">
        <v>1676</v>
      </c>
      <c r="D1740" t="s">
        <v>2246</v>
      </c>
      <c r="E1740" t="s">
        <v>1678</v>
      </c>
    </row>
    <row r="1741" spans="1:5" x14ac:dyDescent="0.4">
      <c r="A1741" t="s">
        <v>2682</v>
      </c>
    </row>
    <row r="1742" spans="1:5" x14ac:dyDescent="0.4">
      <c r="A1742" t="s">
        <v>1627</v>
      </c>
      <c r="B1742">
        <v>3</v>
      </c>
      <c r="C1742" t="s">
        <v>1676</v>
      </c>
      <c r="D1742" t="s">
        <v>1751</v>
      </c>
      <c r="E1742" t="s">
        <v>1678</v>
      </c>
    </row>
    <row r="1743" spans="1:5" x14ac:dyDescent="0.4">
      <c r="A1743" t="s">
        <v>1627</v>
      </c>
      <c r="B1743">
        <v>5</v>
      </c>
      <c r="C1743" t="s">
        <v>1676</v>
      </c>
      <c r="D1743" t="s">
        <v>1705</v>
      </c>
      <c r="E1743" t="s">
        <v>1678</v>
      </c>
    </row>
    <row r="1744" spans="1:5" x14ac:dyDescent="0.4">
      <c r="A1744" t="s">
        <v>1627</v>
      </c>
      <c r="B1744">
        <v>11</v>
      </c>
      <c r="C1744" t="s">
        <v>1676</v>
      </c>
      <c r="D1744" t="s">
        <v>2178</v>
      </c>
      <c r="E1744" t="s">
        <v>1678</v>
      </c>
    </row>
    <row r="1745" spans="1:5" x14ac:dyDescent="0.4">
      <c r="A1745" t="s">
        <v>1627</v>
      </c>
      <c r="B1745">
        <v>13</v>
      </c>
      <c r="C1745" t="s">
        <v>1676</v>
      </c>
      <c r="D1745" t="s">
        <v>1677</v>
      </c>
      <c r="E1745" t="s">
        <v>1678</v>
      </c>
    </row>
    <row r="1746" spans="1:5" x14ac:dyDescent="0.4">
      <c r="A1746" t="s">
        <v>2683</v>
      </c>
    </row>
    <row r="1747" spans="1:5" x14ac:dyDescent="0.4">
      <c r="A1747" t="s">
        <v>1629</v>
      </c>
      <c r="B1747">
        <v>4</v>
      </c>
      <c r="C1747" t="s">
        <v>1676</v>
      </c>
      <c r="D1747" t="s">
        <v>1690</v>
      </c>
      <c r="E1747" t="s">
        <v>1678</v>
      </c>
    </row>
    <row r="1748" spans="1:5" x14ac:dyDescent="0.4">
      <c r="A1748" t="s">
        <v>2684</v>
      </c>
    </row>
    <row r="1749" spans="1:5" x14ac:dyDescent="0.4">
      <c r="A1749" t="s">
        <v>1631</v>
      </c>
      <c r="B1749">
        <v>11</v>
      </c>
      <c r="C1749" t="s">
        <v>1676</v>
      </c>
      <c r="D1749" t="s">
        <v>1693</v>
      </c>
      <c r="E1749" t="s">
        <v>1678</v>
      </c>
    </row>
    <row r="1750" spans="1:5" x14ac:dyDescent="0.4">
      <c r="A1750" t="s">
        <v>2685</v>
      </c>
    </row>
    <row r="1751" spans="1:5" x14ac:dyDescent="0.4">
      <c r="A1751" t="s">
        <v>2686</v>
      </c>
    </row>
    <row r="1752" spans="1:5" x14ac:dyDescent="0.4">
      <c r="A1752" t="s">
        <v>2687</v>
      </c>
    </row>
    <row r="1753" spans="1:5" x14ac:dyDescent="0.4">
      <c r="A1753" t="s">
        <v>2688</v>
      </c>
    </row>
    <row r="1754" spans="1:5" x14ac:dyDescent="0.4">
      <c r="A1754" t="s">
        <v>1639</v>
      </c>
      <c r="B1754">
        <v>11</v>
      </c>
      <c r="C1754" t="s">
        <v>1676</v>
      </c>
      <c r="D1754" t="s">
        <v>2044</v>
      </c>
      <c r="E1754" t="s">
        <v>1678</v>
      </c>
    </row>
    <row r="1755" spans="1:5" x14ac:dyDescent="0.4">
      <c r="A1755" t="s">
        <v>2689</v>
      </c>
    </row>
    <row r="1756" spans="1:5" x14ac:dyDescent="0.4">
      <c r="A1756" t="s">
        <v>1641</v>
      </c>
      <c r="B1756">
        <v>15</v>
      </c>
      <c r="C1756" t="s">
        <v>1676</v>
      </c>
      <c r="D1756" t="s">
        <v>1690</v>
      </c>
      <c r="E1756" t="s">
        <v>1678</v>
      </c>
    </row>
    <row r="1757" spans="1:5" x14ac:dyDescent="0.4">
      <c r="A1757" t="s">
        <v>1641</v>
      </c>
      <c r="B1757">
        <v>18</v>
      </c>
      <c r="C1757" t="s">
        <v>1676</v>
      </c>
      <c r="D1757" t="s">
        <v>1721</v>
      </c>
      <c r="E1757" t="s">
        <v>1678</v>
      </c>
    </row>
    <row r="1758" spans="1:5" x14ac:dyDescent="0.4">
      <c r="A1758" t="s">
        <v>2690</v>
      </c>
    </row>
    <row r="1759" spans="1:5" x14ac:dyDescent="0.4">
      <c r="A1759" t="s">
        <v>1643</v>
      </c>
      <c r="B1759">
        <v>4</v>
      </c>
      <c r="C1759" t="s">
        <v>1676</v>
      </c>
      <c r="D1759" t="s">
        <v>1703</v>
      </c>
      <c r="E1759" t="s">
        <v>1678</v>
      </c>
    </row>
    <row r="1760" spans="1:5" x14ac:dyDescent="0.4">
      <c r="A1760" t="s">
        <v>1643</v>
      </c>
      <c r="B1760">
        <v>19</v>
      </c>
      <c r="C1760" t="s">
        <v>1676</v>
      </c>
      <c r="D1760" t="s">
        <v>1738</v>
      </c>
      <c r="E1760" t="s">
        <v>1678</v>
      </c>
    </row>
    <row r="1761" spans="1:5" x14ac:dyDescent="0.4">
      <c r="A1761" t="s">
        <v>2691</v>
      </c>
    </row>
    <row r="1762" spans="1:5" x14ac:dyDescent="0.4">
      <c r="A1762" t="s">
        <v>1645</v>
      </c>
      <c r="B1762">
        <v>3</v>
      </c>
      <c r="C1762" t="s">
        <v>1676</v>
      </c>
      <c r="D1762" t="s">
        <v>1742</v>
      </c>
      <c r="E1762" t="s">
        <v>1678</v>
      </c>
    </row>
    <row r="1763" spans="1:5" x14ac:dyDescent="0.4">
      <c r="A1763" t="s">
        <v>1645</v>
      </c>
      <c r="B1763">
        <v>6</v>
      </c>
      <c r="C1763" t="s">
        <v>1676</v>
      </c>
      <c r="D1763" t="s">
        <v>1677</v>
      </c>
      <c r="E1763" t="s">
        <v>1678</v>
      </c>
    </row>
    <row r="1764" spans="1:5" x14ac:dyDescent="0.4">
      <c r="A1764" t="s">
        <v>2692</v>
      </c>
    </row>
    <row r="1765" spans="1:5" x14ac:dyDescent="0.4">
      <c r="A1765" t="s">
        <v>1647</v>
      </c>
      <c r="B1765">
        <v>11</v>
      </c>
      <c r="C1765" t="s">
        <v>1676</v>
      </c>
      <c r="D1765" t="s">
        <v>1683</v>
      </c>
      <c r="E1765" t="s">
        <v>1678</v>
      </c>
    </row>
    <row r="1766" spans="1:5" x14ac:dyDescent="0.4">
      <c r="A1766" t="s">
        <v>2693</v>
      </c>
    </row>
    <row r="1767" spans="1:5" x14ac:dyDescent="0.4">
      <c r="A1767" t="s">
        <v>2694</v>
      </c>
    </row>
    <row r="1768" spans="1:5" x14ac:dyDescent="0.4">
      <c r="A1768" t="s">
        <v>1651</v>
      </c>
      <c r="B1768">
        <v>14</v>
      </c>
      <c r="C1768" t="s">
        <v>1676</v>
      </c>
      <c r="D1768" t="s">
        <v>1991</v>
      </c>
      <c r="E1768" t="s">
        <v>1678</v>
      </c>
    </row>
    <row r="1769" spans="1:5" x14ac:dyDescent="0.4">
      <c r="A1769" t="s">
        <v>2695</v>
      </c>
    </row>
    <row r="1770" spans="1:5" x14ac:dyDescent="0.4">
      <c r="A1770" t="s">
        <v>2696</v>
      </c>
    </row>
    <row r="1771" spans="1:5" x14ac:dyDescent="0.4">
      <c r="A1771" t="s">
        <v>1655</v>
      </c>
      <c r="B1771">
        <v>3</v>
      </c>
      <c r="C1771" t="s">
        <v>1676</v>
      </c>
      <c r="D1771" t="s">
        <v>1719</v>
      </c>
      <c r="E1771" t="s">
        <v>1678</v>
      </c>
    </row>
    <row r="1772" spans="1:5" x14ac:dyDescent="0.4">
      <c r="A1772" t="s">
        <v>1655</v>
      </c>
      <c r="B1772">
        <v>9</v>
      </c>
      <c r="C1772" t="s">
        <v>1676</v>
      </c>
      <c r="D1772" t="s">
        <v>1683</v>
      </c>
      <c r="E1772" t="s">
        <v>1678</v>
      </c>
    </row>
    <row r="1773" spans="1:5" x14ac:dyDescent="0.4">
      <c r="A1773" t="s">
        <v>1655</v>
      </c>
      <c r="B1773">
        <v>10</v>
      </c>
      <c r="C1773" t="s">
        <v>1676</v>
      </c>
      <c r="D1773" t="s">
        <v>1687</v>
      </c>
      <c r="E1773" t="s">
        <v>1678</v>
      </c>
    </row>
    <row r="1774" spans="1:5" x14ac:dyDescent="0.4">
      <c r="A1774" t="s">
        <v>2697</v>
      </c>
    </row>
    <row r="1775" spans="1:5" x14ac:dyDescent="0.4">
      <c r="A1775" t="s">
        <v>2698</v>
      </c>
    </row>
    <row r="1776" spans="1:5" x14ac:dyDescent="0.4">
      <c r="A1776" t="s">
        <v>1659</v>
      </c>
      <c r="B1776">
        <v>16</v>
      </c>
      <c r="C1776" t="s">
        <v>1676</v>
      </c>
      <c r="D1776" t="s">
        <v>1751</v>
      </c>
      <c r="E1776" t="s">
        <v>1678</v>
      </c>
    </row>
    <row r="1777" spans="1:5" x14ac:dyDescent="0.4">
      <c r="A1777" t="s">
        <v>2699</v>
      </c>
    </row>
    <row r="1778" spans="1:5" x14ac:dyDescent="0.4">
      <c r="A1778" t="s">
        <v>2700</v>
      </c>
    </row>
    <row r="1779" spans="1:5" x14ac:dyDescent="0.4">
      <c r="A1779" t="s">
        <v>1663</v>
      </c>
      <c r="B1779">
        <v>15</v>
      </c>
      <c r="C1779" t="s">
        <v>1676</v>
      </c>
      <c r="D1779" t="s">
        <v>2701</v>
      </c>
      <c r="E1779" t="s">
        <v>1678</v>
      </c>
    </row>
    <row r="1780" spans="1:5" x14ac:dyDescent="0.4">
      <c r="A1780" t="s">
        <v>1663</v>
      </c>
      <c r="B1780">
        <v>16</v>
      </c>
      <c r="C1780" t="s">
        <v>1676</v>
      </c>
      <c r="D1780" t="s">
        <v>1823</v>
      </c>
      <c r="E1780" t="s">
        <v>1678</v>
      </c>
    </row>
    <row r="1781" spans="1:5" x14ac:dyDescent="0.4">
      <c r="A1781" t="s">
        <v>1663</v>
      </c>
      <c r="B1781">
        <v>18</v>
      </c>
      <c r="C1781" t="s">
        <v>1676</v>
      </c>
      <c r="D1781" t="s">
        <v>1962</v>
      </c>
      <c r="E1781" t="s">
        <v>1678</v>
      </c>
    </row>
    <row r="1782" spans="1:5" x14ac:dyDescent="0.4">
      <c r="A1782" t="s">
        <v>2702</v>
      </c>
    </row>
    <row r="1783" spans="1:5" x14ac:dyDescent="0.4">
      <c r="A1783" t="s">
        <v>1665</v>
      </c>
      <c r="B1783">
        <v>12</v>
      </c>
      <c r="C1783" t="s">
        <v>1676</v>
      </c>
      <c r="D1783" t="s">
        <v>2114</v>
      </c>
      <c r="E1783" t="s">
        <v>1678</v>
      </c>
    </row>
    <row r="1784" spans="1:5" x14ac:dyDescent="0.4">
      <c r="A1784" t="s">
        <v>1665</v>
      </c>
      <c r="B1784">
        <v>13</v>
      </c>
      <c r="C1784" t="s">
        <v>1676</v>
      </c>
      <c r="D1784" t="s">
        <v>1737</v>
      </c>
      <c r="E1784" t="s">
        <v>1678</v>
      </c>
    </row>
    <row r="1785" spans="1:5" x14ac:dyDescent="0.4">
      <c r="A1785" t="s">
        <v>2703</v>
      </c>
    </row>
    <row r="1786" spans="1:5" x14ac:dyDescent="0.4">
      <c r="A1786" t="s">
        <v>1667</v>
      </c>
      <c r="B1786">
        <v>3</v>
      </c>
      <c r="C1786" t="s">
        <v>1676</v>
      </c>
      <c r="D1786" t="s">
        <v>2031</v>
      </c>
      <c r="E1786" t="s">
        <v>1678</v>
      </c>
    </row>
    <row r="1787" spans="1:5" x14ac:dyDescent="0.4">
      <c r="A1787" t="s">
        <v>1667</v>
      </c>
      <c r="B1787">
        <v>16</v>
      </c>
      <c r="C1787" t="s">
        <v>1676</v>
      </c>
      <c r="D1787" t="s">
        <v>2144</v>
      </c>
      <c r="E1787" t="s">
        <v>1678</v>
      </c>
    </row>
    <row r="1788" spans="1:5" x14ac:dyDescent="0.4">
      <c r="A1788" t="s">
        <v>2704</v>
      </c>
    </row>
    <row r="1789" spans="1:5" x14ac:dyDescent="0.4">
      <c r="A1789" t="s">
        <v>1669</v>
      </c>
      <c r="B1789">
        <v>12</v>
      </c>
      <c r="C1789" t="s">
        <v>1676</v>
      </c>
      <c r="D1789" t="s">
        <v>1742</v>
      </c>
      <c r="E1789" t="s">
        <v>1678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"/>
  <sheetViews>
    <sheetView workbookViewId="0">
      <selection activeCell="F17" sqref="F17"/>
    </sheetView>
  </sheetViews>
  <sheetFormatPr defaultRowHeight="14.6" x14ac:dyDescent="0.4"/>
  <cols>
    <col min="1" max="1" width="22.69140625" customWidth="1"/>
    <col min="4" max="4" width="17.53515625" bestFit="1" customWidth="1"/>
    <col min="5" max="5" width="17.765625" customWidth="1"/>
  </cols>
  <sheetData>
    <row r="1" spans="1:6" x14ac:dyDescent="0.4">
      <c r="A1" t="s">
        <v>1671</v>
      </c>
      <c r="B1" t="s">
        <v>1672</v>
      </c>
      <c r="C1" t="s">
        <v>1673</v>
      </c>
      <c r="D1" t="s">
        <v>1674</v>
      </c>
      <c r="E1" t="s">
        <v>1675</v>
      </c>
      <c r="F1" t="s">
        <v>2719</v>
      </c>
    </row>
    <row r="2" spans="1:6" x14ac:dyDescent="0.4">
      <c r="A2" t="s">
        <v>11</v>
      </c>
      <c r="B2">
        <v>11</v>
      </c>
      <c r="C2" t="s">
        <v>1676</v>
      </c>
      <c r="D2" t="s">
        <v>1684</v>
      </c>
      <c r="E2" t="s">
        <v>1678</v>
      </c>
      <c r="F2">
        <f>IF(E2="None",0,1)</f>
        <v>0</v>
      </c>
    </row>
    <row r="3" spans="1:6" x14ac:dyDescent="0.4">
      <c r="A3" t="s">
        <v>73</v>
      </c>
      <c r="B3">
        <v>11</v>
      </c>
      <c r="C3" t="s">
        <v>1676</v>
      </c>
      <c r="D3" t="s">
        <v>1683</v>
      </c>
      <c r="E3" t="s">
        <v>1678</v>
      </c>
      <c r="F3">
        <f t="shared" ref="F3:F66" si="0">IF(E3="None",0,1)</f>
        <v>0</v>
      </c>
    </row>
    <row r="4" spans="1:6" x14ac:dyDescent="0.4">
      <c r="A4" t="s">
        <v>83</v>
      </c>
      <c r="B4">
        <v>11</v>
      </c>
      <c r="C4" t="s">
        <v>1676</v>
      </c>
      <c r="D4" t="s">
        <v>1728</v>
      </c>
      <c r="E4" t="s">
        <v>1728</v>
      </c>
      <c r="F4">
        <f t="shared" si="0"/>
        <v>1</v>
      </c>
    </row>
    <row r="5" spans="1:6" x14ac:dyDescent="0.4">
      <c r="A5" t="s">
        <v>85</v>
      </c>
      <c r="B5">
        <v>11</v>
      </c>
      <c r="C5" t="s">
        <v>1676</v>
      </c>
      <c r="D5" t="s">
        <v>1729</v>
      </c>
      <c r="E5" t="s">
        <v>1729</v>
      </c>
      <c r="F5">
        <f t="shared" si="0"/>
        <v>1</v>
      </c>
    </row>
    <row r="6" spans="1:6" x14ac:dyDescent="0.4">
      <c r="A6" t="s">
        <v>91</v>
      </c>
      <c r="B6">
        <v>11</v>
      </c>
      <c r="C6" t="s">
        <v>1676</v>
      </c>
      <c r="D6" t="s">
        <v>1730</v>
      </c>
      <c r="E6" t="s">
        <v>1730</v>
      </c>
      <c r="F6">
        <f t="shared" si="0"/>
        <v>1</v>
      </c>
    </row>
    <row r="7" spans="1:6" x14ac:dyDescent="0.4">
      <c r="A7" t="s">
        <v>95</v>
      </c>
      <c r="B7">
        <v>11</v>
      </c>
      <c r="C7" t="s">
        <v>1676</v>
      </c>
      <c r="D7" t="s">
        <v>1733</v>
      </c>
      <c r="E7" t="s">
        <v>1678</v>
      </c>
      <c r="F7">
        <f t="shared" si="0"/>
        <v>0</v>
      </c>
    </row>
    <row r="8" spans="1:6" x14ac:dyDescent="0.4">
      <c r="A8" t="s">
        <v>101</v>
      </c>
      <c r="B8">
        <v>11</v>
      </c>
      <c r="C8" t="s">
        <v>1676</v>
      </c>
      <c r="D8" t="s">
        <v>1688</v>
      </c>
      <c r="E8" t="s">
        <v>1678</v>
      </c>
      <c r="F8">
        <f t="shared" si="0"/>
        <v>0</v>
      </c>
    </row>
    <row r="9" spans="1:6" x14ac:dyDescent="0.4">
      <c r="A9" t="s">
        <v>137</v>
      </c>
      <c r="B9">
        <v>11</v>
      </c>
      <c r="C9" t="s">
        <v>1676</v>
      </c>
      <c r="D9" t="s">
        <v>1747</v>
      </c>
      <c r="E9" t="s">
        <v>1747</v>
      </c>
      <c r="F9">
        <f t="shared" si="0"/>
        <v>1</v>
      </c>
    </row>
    <row r="10" spans="1:6" x14ac:dyDescent="0.4">
      <c r="A10" t="s">
        <v>145</v>
      </c>
      <c r="B10">
        <v>11</v>
      </c>
      <c r="C10" t="s">
        <v>1676</v>
      </c>
      <c r="D10" t="s">
        <v>1751</v>
      </c>
      <c r="E10" t="s">
        <v>1678</v>
      </c>
      <c r="F10">
        <f t="shared" si="0"/>
        <v>0</v>
      </c>
    </row>
    <row r="11" spans="1:6" x14ac:dyDescent="0.4">
      <c r="A11" t="s">
        <v>155</v>
      </c>
      <c r="B11">
        <v>11</v>
      </c>
      <c r="C11" t="s">
        <v>1676</v>
      </c>
      <c r="D11" t="s">
        <v>1758</v>
      </c>
      <c r="E11" t="s">
        <v>1758</v>
      </c>
      <c r="F11">
        <f t="shared" si="0"/>
        <v>1</v>
      </c>
    </row>
    <row r="12" spans="1:6" x14ac:dyDescent="0.4">
      <c r="A12" t="s">
        <v>157</v>
      </c>
      <c r="B12">
        <v>11</v>
      </c>
      <c r="C12" t="s">
        <v>1676</v>
      </c>
      <c r="D12" t="s">
        <v>1760</v>
      </c>
      <c r="E12" t="s">
        <v>1760</v>
      </c>
      <c r="F12">
        <f t="shared" si="0"/>
        <v>1</v>
      </c>
    </row>
    <row r="13" spans="1:6" x14ac:dyDescent="0.4">
      <c r="A13" t="s">
        <v>165</v>
      </c>
      <c r="B13">
        <v>11</v>
      </c>
      <c r="C13" t="s">
        <v>1676</v>
      </c>
      <c r="D13" t="s">
        <v>1765</v>
      </c>
      <c r="E13" t="s">
        <v>1678</v>
      </c>
      <c r="F13">
        <f t="shared" si="0"/>
        <v>0</v>
      </c>
    </row>
    <row r="14" spans="1:6" x14ac:dyDescent="0.4">
      <c r="A14" t="s">
        <v>197</v>
      </c>
      <c r="B14">
        <v>11</v>
      </c>
      <c r="C14" t="s">
        <v>1676</v>
      </c>
      <c r="D14" t="s">
        <v>1798</v>
      </c>
      <c r="E14" t="s">
        <v>1798</v>
      </c>
      <c r="F14">
        <f t="shared" si="0"/>
        <v>1</v>
      </c>
    </row>
    <row r="15" spans="1:6" x14ac:dyDescent="0.4">
      <c r="A15" t="s">
        <v>229</v>
      </c>
      <c r="B15">
        <v>11</v>
      </c>
      <c r="C15" t="s">
        <v>1676</v>
      </c>
      <c r="D15" t="s">
        <v>1835</v>
      </c>
      <c r="E15" t="s">
        <v>1835</v>
      </c>
      <c r="F15">
        <f t="shared" si="0"/>
        <v>1</v>
      </c>
    </row>
    <row r="16" spans="1:6" x14ac:dyDescent="0.4">
      <c r="A16" t="s">
        <v>237</v>
      </c>
      <c r="B16">
        <v>11</v>
      </c>
      <c r="C16" t="s">
        <v>1676</v>
      </c>
      <c r="D16" t="s">
        <v>1842</v>
      </c>
      <c r="E16" t="s">
        <v>1842</v>
      </c>
      <c r="F16">
        <f t="shared" si="0"/>
        <v>1</v>
      </c>
    </row>
    <row r="17" spans="1:6" x14ac:dyDescent="0.4">
      <c r="A17" t="s">
        <v>255</v>
      </c>
      <c r="B17">
        <v>11</v>
      </c>
      <c r="C17" t="s">
        <v>1676</v>
      </c>
      <c r="D17" t="s">
        <v>1720</v>
      </c>
      <c r="E17" t="s">
        <v>1678</v>
      </c>
      <c r="F17">
        <f t="shared" si="0"/>
        <v>0</v>
      </c>
    </row>
    <row r="18" spans="1:6" x14ac:dyDescent="0.4">
      <c r="A18" t="s">
        <v>287</v>
      </c>
      <c r="B18">
        <v>11</v>
      </c>
      <c r="C18" t="s">
        <v>1676</v>
      </c>
      <c r="D18" t="s">
        <v>1877</v>
      </c>
      <c r="E18" t="s">
        <v>1877</v>
      </c>
      <c r="F18">
        <f t="shared" si="0"/>
        <v>1</v>
      </c>
    </row>
    <row r="19" spans="1:6" x14ac:dyDescent="0.4">
      <c r="A19" t="s">
        <v>307</v>
      </c>
      <c r="B19">
        <v>11</v>
      </c>
      <c r="C19" t="s">
        <v>1676</v>
      </c>
      <c r="D19" t="s">
        <v>1896</v>
      </c>
      <c r="E19" t="s">
        <v>1896</v>
      </c>
      <c r="F19">
        <f t="shared" si="0"/>
        <v>1</v>
      </c>
    </row>
    <row r="20" spans="1:6" x14ac:dyDescent="0.4">
      <c r="A20" t="s">
        <v>323</v>
      </c>
      <c r="B20">
        <v>11</v>
      </c>
      <c r="C20" t="s">
        <v>1676</v>
      </c>
      <c r="D20" t="s">
        <v>1909</v>
      </c>
      <c r="E20" t="s">
        <v>1909</v>
      </c>
      <c r="F20">
        <f t="shared" si="0"/>
        <v>1</v>
      </c>
    </row>
    <row r="21" spans="1:6" x14ac:dyDescent="0.4">
      <c r="A21" t="s">
        <v>331</v>
      </c>
      <c r="B21">
        <v>11</v>
      </c>
      <c r="C21" t="s">
        <v>1676</v>
      </c>
      <c r="D21" t="s">
        <v>1917</v>
      </c>
      <c r="E21" t="s">
        <v>1917</v>
      </c>
      <c r="F21">
        <f t="shared" si="0"/>
        <v>1</v>
      </c>
    </row>
    <row r="22" spans="1:6" x14ac:dyDescent="0.4">
      <c r="A22" t="s">
        <v>369</v>
      </c>
      <c r="B22">
        <v>11</v>
      </c>
      <c r="C22" t="s">
        <v>1676</v>
      </c>
      <c r="D22" t="s">
        <v>1706</v>
      </c>
      <c r="E22" t="s">
        <v>1678</v>
      </c>
      <c r="F22">
        <f t="shared" si="0"/>
        <v>0</v>
      </c>
    </row>
    <row r="23" spans="1:6" x14ac:dyDescent="0.4">
      <c r="A23" t="s">
        <v>371</v>
      </c>
      <c r="B23">
        <v>11</v>
      </c>
      <c r="C23" t="s">
        <v>1676</v>
      </c>
      <c r="D23" t="s">
        <v>1948</v>
      </c>
      <c r="E23" t="s">
        <v>1948</v>
      </c>
      <c r="F23">
        <f t="shared" si="0"/>
        <v>1</v>
      </c>
    </row>
    <row r="24" spans="1:6" x14ac:dyDescent="0.4">
      <c r="A24" t="s">
        <v>391</v>
      </c>
      <c r="B24">
        <v>11</v>
      </c>
      <c r="C24" t="s">
        <v>1676</v>
      </c>
      <c r="D24" t="s">
        <v>1960</v>
      </c>
      <c r="E24" t="s">
        <v>1960</v>
      </c>
      <c r="F24">
        <f t="shared" si="0"/>
        <v>1</v>
      </c>
    </row>
    <row r="25" spans="1:6" x14ac:dyDescent="0.4">
      <c r="A25" t="s">
        <v>395</v>
      </c>
      <c r="B25">
        <v>11</v>
      </c>
      <c r="C25" t="s">
        <v>1676</v>
      </c>
      <c r="D25" t="s">
        <v>1964</v>
      </c>
      <c r="E25" t="s">
        <v>1964</v>
      </c>
      <c r="F25">
        <f t="shared" si="0"/>
        <v>1</v>
      </c>
    </row>
    <row r="26" spans="1:6" x14ac:dyDescent="0.4">
      <c r="A26" t="s">
        <v>397</v>
      </c>
      <c r="B26">
        <v>11</v>
      </c>
      <c r="C26" t="s">
        <v>1676</v>
      </c>
      <c r="D26" t="s">
        <v>1967</v>
      </c>
      <c r="E26" t="s">
        <v>1967</v>
      </c>
      <c r="F26">
        <f t="shared" si="0"/>
        <v>1</v>
      </c>
    </row>
    <row r="27" spans="1:6" x14ac:dyDescent="0.4">
      <c r="A27" t="s">
        <v>399</v>
      </c>
      <c r="B27">
        <v>11</v>
      </c>
      <c r="C27" t="s">
        <v>1676</v>
      </c>
      <c r="D27" t="s">
        <v>1719</v>
      </c>
      <c r="E27" t="s">
        <v>1678</v>
      </c>
      <c r="F27">
        <f t="shared" si="0"/>
        <v>0</v>
      </c>
    </row>
    <row r="28" spans="1:6" x14ac:dyDescent="0.4">
      <c r="A28" t="s">
        <v>401</v>
      </c>
      <c r="B28">
        <v>11</v>
      </c>
      <c r="C28" t="s">
        <v>1676</v>
      </c>
      <c r="D28" t="s">
        <v>1971</v>
      </c>
      <c r="E28" t="s">
        <v>1971</v>
      </c>
      <c r="F28">
        <f t="shared" si="0"/>
        <v>1</v>
      </c>
    </row>
    <row r="29" spans="1:6" x14ac:dyDescent="0.4">
      <c r="A29" t="s">
        <v>407</v>
      </c>
      <c r="B29">
        <v>11</v>
      </c>
      <c r="C29" t="s">
        <v>1676</v>
      </c>
      <c r="D29" t="s">
        <v>1976</v>
      </c>
      <c r="E29" t="s">
        <v>1678</v>
      </c>
      <c r="F29">
        <f t="shared" si="0"/>
        <v>0</v>
      </c>
    </row>
    <row r="30" spans="1:6" x14ac:dyDescent="0.4">
      <c r="A30" t="s">
        <v>413</v>
      </c>
      <c r="B30">
        <v>11</v>
      </c>
      <c r="C30" t="s">
        <v>1676</v>
      </c>
      <c r="D30" t="s">
        <v>1983</v>
      </c>
      <c r="E30" t="s">
        <v>1983</v>
      </c>
      <c r="F30">
        <f t="shared" si="0"/>
        <v>1</v>
      </c>
    </row>
    <row r="31" spans="1:6" x14ac:dyDescent="0.4">
      <c r="A31" t="s">
        <v>423</v>
      </c>
      <c r="B31">
        <v>11</v>
      </c>
      <c r="C31" t="s">
        <v>1676</v>
      </c>
      <c r="D31" t="s">
        <v>1989</v>
      </c>
      <c r="E31" t="s">
        <v>1989</v>
      </c>
      <c r="F31">
        <f t="shared" si="0"/>
        <v>1</v>
      </c>
    </row>
    <row r="32" spans="1:6" x14ac:dyDescent="0.4">
      <c r="A32" t="s">
        <v>435</v>
      </c>
      <c r="B32">
        <v>11</v>
      </c>
      <c r="C32" t="s">
        <v>1676</v>
      </c>
      <c r="D32" t="s">
        <v>1999</v>
      </c>
      <c r="E32" t="s">
        <v>1999</v>
      </c>
      <c r="F32">
        <f t="shared" si="0"/>
        <v>1</v>
      </c>
    </row>
    <row r="33" spans="1:6" x14ac:dyDescent="0.4">
      <c r="A33" t="s">
        <v>437</v>
      </c>
      <c r="B33">
        <v>11</v>
      </c>
      <c r="C33" t="s">
        <v>1676</v>
      </c>
      <c r="D33" t="s">
        <v>2001</v>
      </c>
      <c r="E33" t="s">
        <v>2001</v>
      </c>
      <c r="F33">
        <f t="shared" si="0"/>
        <v>1</v>
      </c>
    </row>
    <row r="34" spans="1:6" x14ac:dyDescent="0.4">
      <c r="A34" t="s">
        <v>439</v>
      </c>
      <c r="B34">
        <v>11</v>
      </c>
      <c r="C34" t="s">
        <v>1676</v>
      </c>
      <c r="D34" t="s">
        <v>2003</v>
      </c>
      <c r="E34" t="s">
        <v>2003</v>
      </c>
      <c r="F34">
        <f t="shared" si="0"/>
        <v>1</v>
      </c>
    </row>
    <row r="35" spans="1:6" x14ac:dyDescent="0.4">
      <c r="A35" t="s">
        <v>459</v>
      </c>
      <c r="B35">
        <v>11</v>
      </c>
      <c r="C35" t="s">
        <v>1676</v>
      </c>
      <c r="D35" t="s">
        <v>1742</v>
      </c>
      <c r="E35" t="s">
        <v>1678</v>
      </c>
      <c r="F35">
        <f t="shared" si="0"/>
        <v>0</v>
      </c>
    </row>
    <row r="36" spans="1:6" x14ac:dyDescent="0.4">
      <c r="A36" t="s">
        <v>483</v>
      </c>
      <c r="B36">
        <v>11</v>
      </c>
      <c r="C36" t="s">
        <v>1676</v>
      </c>
      <c r="D36" t="s">
        <v>2036</v>
      </c>
      <c r="E36" t="s">
        <v>2036</v>
      </c>
      <c r="F36">
        <f t="shared" si="0"/>
        <v>1</v>
      </c>
    </row>
    <row r="37" spans="1:6" x14ac:dyDescent="0.4">
      <c r="A37" t="s">
        <v>499</v>
      </c>
      <c r="B37">
        <v>11</v>
      </c>
      <c r="C37" t="s">
        <v>1676</v>
      </c>
      <c r="D37" t="s">
        <v>2052</v>
      </c>
      <c r="E37" t="s">
        <v>2052</v>
      </c>
      <c r="F37">
        <f t="shared" si="0"/>
        <v>1</v>
      </c>
    </row>
    <row r="38" spans="1:6" x14ac:dyDescent="0.4">
      <c r="A38" t="s">
        <v>509</v>
      </c>
      <c r="B38">
        <v>11</v>
      </c>
      <c r="C38" t="s">
        <v>1676</v>
      </c>
      <c r="D38" t="s">
        <v>2062</v>
      </c>
      <c r="E38" t="s">
        <v>2062</v>
      </c>
      <c r="F38">
        <f t="shared" si="0"/>
        <v>1</v>
      </c>
    </row>
    <row r="39" spans="1:6" x14ac:dyDescent="0.4">
      <c r="A39" t="s">
        <v>511</v>
      </c>
      <c r="B39">
        <v>11</v>
      </c>
      <c r="C39" t="s">
        <v>1676</v>
      </c>
      <c r="D39" t="s">
        <v>1740</v>
      </c>
      <c r="E39" t="s">
        <v>1678</v>
      </c>
      <c r="F39">
        <f t="shared" si="0"/>
        <v>0</v>
      </c>
    </row>
    <row r="40" spans="1:6" x14ac:dyDescent="0.4">
      <c r="A40" t="s">
        <v>539</v>
      </c>
      <c r="B40">
        <v>11</v>
      </c>
      <c r="C40" t="s">
        <v>1676</v>
      </c>
      <c r="D40" t="s">
        <v>2079</v>
      </c>
      <c r="E40" t="s">
        <v>1678</v>
      </c>
      <c r="F40">
        <f t="shared" si="0"/>
        <v>0</v>
      </c>
    </row>
    <row r="41" spans="1:6" x14ac:dyDescent="0.4">
      <c r="A41" t="s">
        <v>541</v>
      </c>
      <c r="B41">
        <v>11</v>
      </c>
      <c r="C41" t="s">
        <v>1676</v>
      </c>
      <c r="D41" t="s">
        <v>1696</v>
      </c>
      <c r="E41" t="s">
        <v>1678</v>
      </c>
      <c r="F41">
        <f t="shared" si="0"/>
        <v>0</v>
      </c>
    </row>
    <row r="42" spans="1:6" x14ac:dyDescent="0.4">
      <c r="A42" t="s">
        <v>557</v>
      </c>
      <c r="B42">
        <v>11</v>
      </c>
      <c r="C42" t="s">
        <v>1676</v>
      </c>
      <c r="D42" t="s">
        <v>2090</v>
      </c>
      <c r="E42" t="s">
        <v>1678</v>
      </c>
      <c r="F42">
        <f t="shared" si="0"/>
        <v>0</v>
      </c>
    </row>
    <row r="43" spans="1:6" x14ac:dyDescent="0.4">
      <c r="A43" t="s">
        <v>563</v>
      </c>
      <c r="B43">
        <v>11</v>
      </c>
      <c r="C43" t="s">
        <v>1676</v>
      </c>
      <c r="D43" t="s">
        <v>1719</v>
      </c>
      <c r="E43" t="s">
        <v>1678</v>
      </c>
      <c r="F43">
        <f t="shared" si="0"/>
        <v>0</v>
      </c>
    </row>
    <row r="44" spans="1:6" x14ac:dyDescent="0.4">
      <c r="A44" t="s">
        <v>587</v>
      </c>
      <c r="B44">
        <v>11</v>
      </c>
      <c r="C44" t="s">
        <v>1676</v>
      </c>
      <c r="D44" t="s">
        <v>1691</v>
      </c>
      <c r="E44" t="s">
        <v>1678</v>
      </c>
      <c r="F44">
        <f t="shared" si="0"/>
        <v>0</v>
      </c>
    </row>
    <row r="45" spans="1:6" x14ac:dyDescent="0.4">
      <c r="A45" t="s">
        <v>609</v>
      </c>
      <c r="B45">
        <v>11</v>
      </c>
      <c r="C45" t="s">
        <v>1676</v>
      </c>
      <c r="D45" t="s">
        <v>1704</v>
      </c>
      <c r="E45" t="s">
        <v>1678</v>
      </c>
      <c r="F45">
        <f t="shared" si="0"/>
        <v>0</v>
      </c>
    </row>
    <row r="46" spans="1:6" x14ac:dyDescent="0.4">
      <c r="A46" t="s">
        <v>613</v>
      </c>
      <c r="B46">
        <v>11</v>
      </c>
      <c r="C46" t="s">
        <v>1676</v>
      </c>
      <c r="D46" t="s">
        <v>1829</v>
      </c>
      <c r="E46" t="s">
        <v>1678</v>
      </c>
      <c r="F46">
        <f t="shared" si="0"/>
        <v>0</v>
      </c>
    </row>
    <row r="47" spans="1:6" x14ac:dyDescent="0.4">
      <c r="A47" t="s">
        <v>633</v>
      </c>
      <c r="B47">
        <v>11</v>
      </c>
      <c r="C47" t="s">
        <v>1676</v>
      </c>
      <c r="D47" t="s">
        <v>1945</v>
      </c>
      <c r="E47" t="s">
        <v>1678</v>
      </c>
      <c r="F47">
        <f t="shared" si="0"/>
        <v>0</v>
      </c>
    </row>
    <row r="48" spans="1:6" x14ac:dyDescent="0.4">
      <c r="A48" t="s">
        <v>645</v>
      </c>
      <c r="B48">
        <v>11</v>
      </c>
      <c r="C48" t="s">
        <v>1676</v>
      </c>
      <c r="D48" t="s">
        <v>1677</v>
      </c>
      <c r="E48" t="s">
        <v>1678</v>
      </c>
      <c r="F48">
        <f t="shared" si="0"/>
        <v>0</v>
      </c>
    </row>
    <row r="49" spans="1:6" x14ac:dyDescent="0.4">
      <c r="A49" t="s">
        <v>651</v>
      </c>
      <c r="B49">
        <v>11</v>
      </c>
      <c r="C49" t="s">
        <v>1676</v>
      </c>
      <c r="D49" t="s">
        <v>1933</v>
      </c>
      <c r="E49" t="s">
        <v>1678</v>
      </c>
      <c r="F49">
        <f t="shared" si="0"/>
        <v>0</v>
      </c>
    </row>
    <row r="50" spans="1:6" x14ac:dyDescent="0.4">
      <c r="A50" t="s">
        <v>659</v>
      </c>
      <c r="B50">
        <v>11</v>
      </c>
      <c r="C50" t="s">
        <v>1676</v>
      </c>
      <c r="D50" t="s">
        <v>1995</v>
      </c>
      <c r="E50" t="s">
        <v>1678</v>
      </c>
      <c r="F50">
        <f t="shared" si="0"/>
        <v>0</v>
      </c>
    </row>
    <row r="51" spans="1:6" x14ac:dyDescent="0.4">
      <c r="A51" t="s">
        <v>665</v>
      </c>
      <c r="B51">
        <v>11</v>
      </c>
      <c r="C51" t="s">
        <v>1676</v>
      </c>
      <c r="D51" t="s">
        <v>2102</v>
      </c>
      <c r="E51" t="s">
        <v>1678</v>
      </c>
      <c r="F51">
        <f t="shared" si="0"/>
        <v>0</v>
      </c>
    </row>
    <row r="52" spans="1:6" x14ac:dyDescent="0.4">
      <c r="A52" t="s">
        <v>673</v>
      </c>
      <c r="B52">
        <v>11</v>
      </c>
      <c r="C52" t="s">
        <v>1676</v>
      </c>
      <c r="D52" t="s">
        <v>2096</v>
      </c>
      <c r="E52" t="s">
        <v>1678</v>
      </c>
      <c r="F52">
        <f t="shared" si="0"/>
        <v>0</v>
      </c>
    </row>
    <row r="53" spans="1:6" x14ac:dyDescent="0.4">
      <c r="A53" t="s">
        <v>701</v>
      </c>
      <c r="B53">
        <v>11</v>
      </c>
      <c r="C53" t="s">
        <v>1676</v>
      </c>
      <c r="D53" t="s">
        <v>1702</v>
      </c>
      <c r="E53" t="s">
        <v>1678</v>
      </c>
      <c r="F53">
        <f t="shared" si="0"/>
        <v>0</v>
      </c>
    </row>
    <row r="54" spans="1:6" x14ac:dyDescent="0.4">
      <c r="A54" t="s">
        <v>713</v>
      </c>
      <c r="B54">
        <v>11</v>
      </c>
      <c r="C54" t="s">
        <v>1676</v>
      </c>
      <c r="D54" t="s">
        <v>1677</v>
      </c>
      <c r="E54" t="s">
        <v>1678</v>
      </c>
      <c r="F54">
        <f t="shared" si="0"/>
        <v>0</v>
      </c>
    </row>
    <row r="55" spans="1:6" x14ac:dyDescent="0.4">
      <c r="A55" t="s">
        <v>721</v>
      </c>
      <c r="B55">
        <v>11</v>
      </c>
      <c r="C55" t="s">
        <v>1676</v>
      </c>
      <c r="D55" t="s">
        <v>1962</v>
      </c>
      <c r="E55" t="s">
        <v>1678</v>
      </c>
      <c r="F55">
        <f t="shared" si="0"/>
        <v>0</v>
      </c>
    </row>
    <row r="56" spans="1:6" x14ac:dyDescent="0.4">
      <c r="A56" t="s">
        <v>755</v>
      </c>
      <c r="B56">
        <v>11</v>
      </c>
      <c r="C56" t="s">
        <v>1676</v>
      </c>
      <c r="D56" t="s">
        <v>1705</v>
      </c>
      <c r="E56" t="s">
        <v>1678</v>
      </c>
      <c r="F56">
        <f t="shared" si="0"/>
        <v>0</v>
      </c>
    </row>
    <row r="57" spans="1:6" x14ac:dyDescent="0.4">
      <c r="A57" t="s">
        <v>771</v>
      </c>
      <c r="B57">
        <v>11</v>
      </c>
      <c r="C57" t="s">
        <v>1676</v>
      </c>
      <c r="D57" t="s">
        <v>1720</v>
      </c>
      <c r="E57" t="s">
        <v>1678</v>
      </c>
      <c r="F57">
        <f t="shared" si="0"/>
        <v>0</v>
      </c>
    </row>
    <row r="58" spans="1:6" x14ac:dyDescent="0.4">
      <c r="A58" t="s">
        <v>783</v>
      </c>
      <c r="B58">
        <v>11</v>
      </c>
      <c r="C58" t="s">
        <v>1676</v>
      </c>
      <c r="D58" t="s">
        <v>2100</v>
      </c>
      <c r="E58" t="s">
        <v>1678</v>
      </c>
      <c r="F58">
        <f t="shared" si="0"/>
        <v>0</v>
      </c>
    </row>
    <row r="59" spans="1:6" x14ac:dyDescent="0.4">
      <c r="A59" t="s">
        <v>789</v>
      </c>
      <c r="B59">
        <v>11</v>
      </c>
      <c r="C59" t="s">
        <v>1676</v>
      </c>
      <c r="D59" t="s">
        <v>1751</v>
      </c>
      <c r="E59" t="s">
        <v>1678</v>
      </c>
      <c r="F59">
        <f t="shared" si="0"/>
        <v>0</v>
      </c>
    </row>
    <row r="60" spans="1:6" x14ac:dyDescent="0.4">
      <c r="A60" t="s">
        <v>791</v>
      </c>
      <c r="B60">
        <v>11</v>
      </c>
      <c r="C60" t="s">
        <v>1676</v>
      </c>
      <c r="D60" t="s">
        <v>2231</v>
      </c>
      <c r="E60" t="s">
        <v>1678</v>
      </c>
      <c r="F60">
        <f t="shared" si="0"/>
        <v>0</v>
      </c>
    </row>
    <row r="61" spans="1:6" x14ac:dyDescent="0.4">
      <c r="A61" t="s">
        <v>835</v>
      </c>
      <c r="B61">
        <v>11</v>
      </c>
      <c r="C61" t="s">
        <v>1676</v>
      </c>
      <c r="D61" t="s">
        <v>1864</v>
      </c>
      <c r="E61" t="s">
        <v>1678</v>
      </c>
      <c r="F61">
        <f t="shared" si="0"/>
        <v>0</v>
      </c>
    </row>
    <row r="62" spans="1:6" x14ac:dyDescent="0.4">
      <c r="A62" t="s">
        <v>845</v>
      </c>
      <c r="B62">
        <v>11</v>
      </c>
      <c r="C62" t="s">
        <v>1676</v>
      </c>
      <c r="D62" t="s">
        <v>1696</v>
      </c>
      <c r="E62" t="s">
        <v>1678</v>
      </c>
      <c r="F62">
        <f t="shared" si="0"/>
        <v>0</v>
      </c>
    </row>
    <row r="63" spans="1:6" x14ac:dyDescent="0.4">
      <c r="A63" t="s">
        <v>853</v>
      </c>
      <c r="B63">
        <v>11</v>
      </c>
      <c r="C63" t="s">
        <v>1676</v>
      </c>
      <c r="D63" t="s">
        <v>1780</v>
      </c>
      <c r="E63" t="s">
        <v>1678</v>
      </c>
      <c r="F63">
        <f t="shared" si="0"/>
        <v>0</v>
      </c>
    </row>
    <row r="64" spans="1:6" x14ac:dyDescent="0.4">
      <c r="A64" t="s">
        <v>859</v>
      </c>
      <c r="B64">
        <v>11</v>
      </c>
      <c r="C64" t="s">
        <v>1676</v>
      </c>
      <c r="D64" t="s">
        <v>1800</v>
      </c>
      <c r="E64" t="s">
        <v>1678</v>
      </c>
      <c r="F64">
        <f t="shared" si="0"/>
        <v>0</v>
      </c>
    </row>
    <row r="65" spans="1:6" x14ac:dyDescent="0.4">
      <c r="A65" t="s">
        <v>863</v>
      </c>
      <c r="B65">
        <v>11</v>
      </c>
      <c r="C65" t="s">
        <v>1676</v>
      </c>
      <c r="D65" t="s">
        <v>1815</v>
      </c>
      <c r="E65" t="s">
        <v>1678</v>
      </c>
      <c r="F65">
        <f t="shared" si="0"/>
        <v>0</v>
      </c>
    </row>
    <row r="66" spans="1:6" x14ac:dyDescent="0.4">
      <c r="A66" t="s">
        <v>867</v>
      </c>
      <c r="B66">
        <v>11</v>
      </c>
      <c r="C66" t="s">
        <v>1676</v>
      </c>
      <c r="D66" t="s">
        <v>2081</v>
      </c>
      <c r="E66" t="s">
        <v>1678</v>
      </c>
      <c r="F66">
        <f t="shared" si="0"/>
        <v>0</v>
      </c>
    </row>
    <row r="67" spans="1:6" x14ac:dyDescent="0.4">
      <c r="A67" t="s">
        <v>873</v>
      </c>
      <c r="B67">
        <v>11</v>
      </c>
      <c r="C67" t="s">
        <v>1676</v>
      </c>
      <c r="D67" t="s">
        <v>1742</v>
      </c>
      <c r="E67" t="s">
        <v>1678</v>
      </c>
      <c r="F67">
        <f t="shared" ref="F67:F124" si="1">IF(E67="None",0,1)</f>
        <v>0</v>
      </c>
    </row>
    <row r="68" spans="1:6" x14ac:dyDescent="0.4">
      <c r="A68" t="s">
        <v>887</v>
      </c>
      <c r="B68">
        <v>11</v>
      </c>
      <c r="C68" t="s">
        <v>1676</v>
      </c>
      <c r="D68" t="s">
        <v>2246</v>
      </c>
      <c r="E68" t="s">
        <v>1678</v>
      </c>
      <c r="F68">
        <f t="shared" si="1"/>
        <v>0</v>
      </c>
    </row>
    <row r="69" spans="1:6" x14ac:dyDescent="0.4">
      <c r="A69" t="s">
        <v>897</v>
      </c>
      <c r="B69">
        <v>11</v>
      </c>
      <c r="C69" t="s">
        <v>1676</v>
      </c>
      <c r="D69" t="s">
        <v>1739</v>
      </c>
      <c r="E69" t="s">
        <v>1678</v>
      </c>
      <c r="F69">
        <f t="shared" si="1"/>
        <v>0</v>
      </c>
    </row>
    <row r="70" spans="1:6" x14ac:dyDescent="0.4">
      <c r="A70" t="s">
        <v>901</v>
      </c>
      <c r="B70">
        <v>11</v>
      </c>
      <c r="C70" t="s">
        <v>1676</v>
      </c>
      <c r="D70" t="s">
        <v>1742</v>
      </c>
      <c r="E70" t="s">
        <v>1678</v>
      </c>
      <c r="F70">
        <f t="shared" si="1"/>
        <v>0</v>
      </c>
    </row>
    <row r="71" spans="1:6" x14ac:dyDescent="0.4">
      <c r="A71" t="s">
        <v>907</v>
      </c>
      <c r="B71">
        <v>11</v>
      </c>
      <c r="C71" t="s">
        <v>1676</v>
      </c>
      <c r="D71" t="s">
        <v>1785</v>
      </c>
      <c r="E71" t="s">
        <v>1678</v>
      </c>
      <c r="F71">
        <f t="shared" si="1"/>
        <v>0</v>
      </c>
    </row>
    <row r="72" spans="1:6" x14ac:dyDescent="0.4">
      <c r="A72" t="s">
        <v>927</v>
      </c>
      <c r="B72">
        <v>11</v>
      </c>
      <c r="C72" t="s">
        <v>1676</v>
      </c>
      <c r="D72" t="s">
        <v>1683</v>
      </c>
      <c r="E72" t="s">
        <v>1678</v>
      </c>
      <c r="F72">
        <f t="shared" si="1"/>
        <v>0</v>
      </c>
    </row>
    <row r="73" spans="1:6" x14ac:dyDescent="0.4">
      <c r="A73" t="s">
        <v>933</v>
      </c>
      <c r="B73">
        <v>11</v>
      </c>
      <c r="C73" t="s">
        <v>1676</v>
      </c>
      <c r="D73" t="s">
        <v>2224</v>
      </c>
      <c r="E73" t="s">
        <v>1678</v>
      </c>
      <c r="F73">
        <f t="shared" si="1"/>
        <v>0</v>
      </c>
    </row>
    <row r="74" spans="1:6" x14ac:dyDescent="0.4">
      <c r="A74" t="s">
        <v>947</v>
      </c>
      <c r="B74">
        <v>11</v>
      </c>
      <c r="C74" t="s">
        <v>1676</v>
      </c>
      <c r="D74" t="s">
        <v>1740</v>
      </c>
      <c r="E74" t="s">
        <v>1678</v>
      </c>
      <c r="F74">
        <f t="shared" si="1"/>
        <v>0</v>
      </c>
    </row>
    <row r="75" spans="1:6" x14ac:dyDescent="0.4">
      <c r="A75" t="s">
        <v>967</v>
      </c>
      <c r="B75">
        <v>11</v>
      </c>
      <c r="C75" t="s">
        <v>1676</v>
      </c>
      <c r="D75" t="s">
        <v>1905</v>
      </c>
      <c r="E75" t="s">
        <v>1678</v>
      </c>
      <c r="F75">
        <f t="shared" si="1"/>
        <v>0</v>
      </c>
    </row>
    <row r="76" spans="1:6" x14ac:dyDescent="0.4">
      <c r="A76" t="s">
        <v>973</v>
      </c>
      <c r="B76">
        <v>11</v>
      </c>
      <c r="C76" t="s">
        <v>1676</v>
      </c>
      <c r="D76" t="s">
        <v>1740</v>
      </c>
      <c r="E76" t="s">
        <v>1678</v>
      </c>
      <c r="F76">
        <f t="shared" si="1"/>
        <v>0</v>
      </c>
    </row>
    <row r="77" spans="1:6" x14ac:dyDescent="0.4">
      <c r="A77" t="s">
        <v>975</v>
      </c>
      <c r="B77">
        <v>11</v>
      </c>
      <c r="C77" t="s">
        <v>1676</v>
      </c>
      <c r="D77" t="s">
        <v>1828</v>
      </c>
      <c r="E77" t="s">
        <v>1678</v>
      </c>
      <c r="F77">
        <f t="shared" si="1"/>
        <v>0</v>
      </c>
    </row>
    <row r="78" spans="1:6" x14ac:dyDescent="0.4">
      <c r="A78" t="s">
        <v>985</v>
      </c>
      <c r="B78">
        <v>11</v>
      </c>
      <c r="C78" t="s">
        <v>1676</v>
      </c>
      <c r="D78" t="s">
        <v>1690</v>
      </c>
      <c r="E78" t="s">
        <v>1678</v>
      </c>
      <c r="F78">
        <f t="shared" si="1"/>
        <v>0</v>
      </c>
    </row>
    <row r="79" spans="1:6" x14ac:dyDescent="0.4">
      <c r="A79" t="s">
        <v>1007</v>
      </c>
      <c r="B79">
        <v>11</v>
      </c>
      <c r="C79" t="s">
        <v>1676</v>
      </c>
      <c r="D79" t="s">
        <v>1694</v>
      </c>
      <c r="E79" t="s">
        <v>1678</v>
      </c>
      <c r="F79">
        <f t="shared" si="1"/>
        <v>0</v>
      </c>
    </row>
    <row r="80" spans="1:6" x14ac:dyDescent="0.4">
      <c r="A80" t="s">
        <v>1037</v>
      </c>
      <c r="B80">
        <v>11</v>
      </c>
      <c r="C80" t="s">
        <v>1676</v>
      </c>
      <c r="D80" t="s">
        <v>1739</v>
      </c>
      <c r="E80" t="s">
        <v>1678</v>
      </c>
      <c r="F80">
        <f t="shared" si="1"/>
        <v>0</v>
      </c>
    </row>
    <row r="81" spans="1:6" x14ac:dyDescent="0.4">
      <c r="A81" t="s">
        <v>1045</v>
      </c>
      <c r="B81">
        <v>11</v>
      </c>
      <c r="C81" t="s">
        <v>1676</v>
      </c>
      <c r="D81" t="s">
        <v>2081</v>
      </c>
      <c r="E81" t="s">
        <v>1678</v>
      </c>
      <c r="F81">
        <f t="shared" si="1"/>
        <v>0</v>
      </c>
    </row>
    <row r="82" spans="1:6" x14ac:dyDescent="0.4">
      <c r="A82" t="s">
        <v>1069</v>
      </c>
      <c r="B82">
        <v>11</v>
      </c>
      <c r="C82" t="s">
        <v>1676</v>
      </c>
      <c r="D82" t="s">
        <v>2178</v>
      </c>
      <c r="E82" t="s">
        <v>1678</v>
      </c>
      <c r="F82">
        <f t="shared" si="1"/>
        <v>0</v>
      </c>
    </row>
    <row r="83" spans="1:6" x14ac:dyDescent="0.4">
      <c r="A83" t="s">
        <v>1073</v>
      </c>
      <c r="B83">
        <v>11</v>
      </c>
      <c r="C83" t="s">
        <v>1676</v>
      </c>
      <c r="D83" t="s">
        <v>2102</v>
      </c>
      <c r="E83" t="s">
        <v>1678</v>
      </c>
      <c r="F83">
        <f t="shared" si="1"/>
        <v>0</v>
      </c>
    </row>
    <row r="84" spans="1:6" x14ac:dyDescent="0.4">
      <c r="A84" t="s">
        <v>1075</v>
      </c>
      <c r="B84">
        <v>11</v>
      </c>
      <c r="C84" t="s">
        <v>1676</v>
      </c>
      <c r="D84" t="s">
        <v>1738</v>
      </c>
      <c r="E84" t="s">
        <v>1678</v>
      </c>
      <c r="F84">
        <f t="shared" si="1"/>
        <v>0</v>
      </c>
    </row>
    <row r="85" spans="1:6" x14ac:dyDescent="0.4">
      <c r="A85" t="s">
        <v>1089</v>
      </c>
      <c r="B85">
        <v>11</v>
      </c>
      <c r="C85" t="s">
        <v>1676</v>
      </c>
      <c r="D85" t="s">
        <v>1744</v>
      </c>
      <c r="E85" t="s">
        <v>1678</v>
      </c>
      <c r="F85">
        <f t="shared" si="1"/>
        <v>0</v>
      </c>
    </row>
    <row r="86" spans="1:6" x14ac:dyDescent="0.4">
      <c r="A86" t="s">
        <v>1137</v>
      </c>
      <c r="B86">
        <v>11</v>
      </c>
      <c r="C86" t="s">
        <v>1676</v>
      </c>
      <c r="D86" t="s">
        <v>1823</v>
      </c>
      <c r="E86" t="s">
        <v>1678</v>
      </c>
      <c r="F86">
        <f t="shared" si="1"/>
        <v>0</v>
      </c>
    </row>
    <row r="87" spans="1:6" x14ac:dyDescent="0.4">
      <c r="A87" t="s">
        <v>1141</v>
      </c>
      <c r="B87">
        <v>11</v>
      </c>
      <c r="C87" t="s">
        <v>1676</v>
      </c>
      <c r="D87" t="s">
        <v>1780</v>
      </c>
      <c r="E87" t="s">
        <v>1678</v>
      </c>
      <c r="F87">
        <f t="shared" si="1"/>
        <v>0</v>
      </c>
    </row>
    <row r="88" spans="1:6" x14ac:dyDescent="0.4">
      <c r="A88" t="s">
        <v>1145</v>
      </c>
      <c r="B88">
        <v>11</v>
      </c>
      <c r="C88" t="s">
        <v>1676</v>
      </c>
      <c r="D88" t="s">
        <v>1912</v>
      </c>
      <c r="E88" t="s">
        <v>1678</v>
      </c>
      <c r="F88">
        <f t="shared" si="1"/>
        <v>0</v>
      </c>
    </row>
    <row r="89" spans="1:6" x14ac:dyDescent="0.4">
      <c r="A89" t="s">
        <v>1147</v>
      </c>
      <c r="B89">
        <v>11</v>
      </c>
      <c r="C89" t="s">
        <v>1676</v>
      </c>
      <c r="D89" t="s">
        <v>1739</v>
      </c>
      <c r="E89" t="s">
        <v>1678</v>
      </c>
      <c r="F89">
        <f t="shared" si="1"/>
        <v>0</v>
      </c>
    </row>
    <row r="90" spans="1:6" x14ac:dyDescent="0.4">
      <c r="A90" t="s">
        <v>1159</v>
      </c>
      <c r="B90">
        <v>11</v>
      </c>
      <c r="C90" t="s">
        <v>1676</v>
      </c>
      <c r="D90" t="s">
        <v>1969</v>
      </c>
      <c r="E90" t="s">
        <v>1678</v>
      </c>
      <c r="F90">
        <f t="shared" si="1"/>
        <v>0</v>
      </c>
    </row>
    <row r="91" spans="1:6" x14ac:dyDescent="0.4">
      <c r="A91" t="s">
        <v>1185</v>
      </c>
      <c r="B91">
        <v>11</v>
      </c>
      <c r="C91" t="s">
        <v>1676</v>
      </c>
      <c r="D91" t="s">
        <v>2449</v>
      </c>
      <c r="E91" t="s">
        <v>1678</v>
      </c>
      <c r="F91">
        <f t="shared" si="1"/>
        <v>0</v>
      </c>
    </row>
    <row r="92" spans="1:6" x14ac:dyDescent="0.4">
      <c r="A92" t="s">
        <v>1203</v>
      </c>
      <c r="B92">
        <v>11</v>
      </c>
      <c r="C92" t="s">
        <v>1676</v>
      </c>
      <c r="D92" t="s">
        <v>1821</v>
      </c>
      <c r="E92" t="s">
        <v>1678</v>
      </c>
      <c r="F92">
        <f t="shared" si="1"/>
        <v>0</v>
      </c>
    </row>
    <row r="93" spans="1:6" x14ac:dyDescent="0.4">
      <c r="A93" t="s">
        <v>1213</v>
      </c>
      <c r="B93">
        <v>11</v>
      </c>
      <c r="C93" t="s">
        <v>1676</v>
      </c>
      <c r="D93" t="s">
        <v>1704</v>
      </c>
      <c r="E93" t="s">
        <v>1678</v>
      </c>
      <c r="F93">
        <f t="shared" si="1"/>
        <v>0</v>
      </c>
    </row>
    <row r="94" spans="1:6" x14ac:dyDescent="0.4">
      <c r="A94" t="s">
        <v>1231</v>
      </c>
      <c r="B94">
        <v>11</v>
      </c>
      <c r="C94" t="s">
        <v>1676</v>
      </c>
      <c r="D94" t="s">
        <v>1689</v>
      </c>
      <c r="E94" t="s">
        <v>1678</v>
      </c>
      <c r="F94">
        <f t="shared" si="1"/>
        <v>0</v>
      </c>
    </row>
    <row r="95" spans="1:6" x14ac:dyDescent="0.4">
      <c r="A95" t="s">
        <v>1233</v>
      </c>
      <c r="B95">
        <v>11</v>
      </c>
      <c r="C95" t="s">
        <v>1676</v>
      </c>
      <c r="D95" t="s">
        <v>2474</v>
      </c>
      <c r="E95" t="s">
        <v>1678</v>
      </c>
      <c r="F95">
        <f t="shared" si="1"/>
        <v>0</v>
      </c>
    </row>
    <row r="96" spans="1:6" x14ac:dyDescent="0.4">
      <c r="A96" t="s">
        <v>1235</v>
      </c>
      <c r="B96">
        <v>11</v>
      </c>
      <c r="C96" t="s">
        <v>1676</v>
      </c>
      <c r="D96" t="s">
        <v>1710</v>
      </c>
      <c r="E96" t="s">
        <v>1678</v>
      </c>
      <c r="F96">
        <f t="shared" si="1"/>
        <v>0</v>
      </c>
    </row>
    <row r="97" spans="1:6" x14ac:dyDescent="0.4">
      <c r="A97" t="s">
        <v>1241</v>
      </c>
      <c r="B97">
        <v>11</v>
      </c>
      <c r="C97" t="s">
        <v>1676</v>
      </c>
      <c r="D97" t="s">
        <v>1737</v>
      </c>
      <c r="E97" t="s">
        <v>1678</v>
      </c>
      <c r="F97">
        <f t="shared" si="1"/>
        <v>0</v>
      </c>
    </row>
    <row r="98" spans="1:6" x14ac:dyDescent="0.4">
      <c r="A98" t="s">
        <v>1253</v>
      </c>
      <c r="B98">
        <v>11</v>
      </c>
      <c r="C98" t="s">
        <v>1676</v>
      </c>
      <c r="D98" t="s">
        <v>1864</v>
      </c>
      <c r="E98" t="s">
        <v>1678</v>
      </c>
      <c r="F98">
        <f t="shared" si="1"/>
        <v>0</v>
      </c>
    </row>
    <row r="99" spans="1:6" x14ac:dyDescent="0.4">
      <c r="A99" t="s">
        <v>1259</v>
      </c>
      <c r="B99">
        <v>11</v>
      </c>
      <c r="C99" t="s">
        <v>1676</v>
      </c>
      <c r="D99" t="s">
        <v>1708</v>
      </c>
      <c r="E99" t="s">
        <v>1678</v>
      </c>
      <c r="F99">
        <f t="shared" si="1"/>
        <v>0</v>
      </c>
    </row>
    <row r="100" spans="1:6" x14ac:dyDescent="0.4">
      <c r="A100" t="s">
        <v>1277</v>
      </c>
      <c r="B100">
        <v>11</v>
      </c>
      <c r="C100" t="s">
        <v>1676</v>
      </c>
      <c r="D100" t="s">
        <v>2175</v>
      </c>
      <c r="E100" t="s">
        <v>1678</v>
      </c>
      <c r="F100">
        <f t="shared" si="1"/>
        <v>0</v>
      </c>
    </row>
    <row r="101" spans="1:6" x14ac:dyDescent="0.4">
      <c r="A101" t="s">
        <v>1289</v>
      </c>
      <c r="B101">
        <v>11</v>
      </c>
      <c r="C101" t="s">
        <v>1676</v>
      </c>
      <c r="D101" t="s">
        <v>2503</v>
      </c>
      <c r="E101" t="s">
        <v>1678</v>
      </c>
      <c r="F101">
        <f t="shared" si="1"/>
        <v>0</v>
      </c>
    </row>
    <row r="102" spans="1:6" x14ac:dyDescent="0.4">
      <c r="A102" t="s">
        <v>1325</v>
      </c>
      <c r="B102">
        <v>11</v>
      </c>
      <c r="C102" t="s">
        <v>1676</v>
      </c>
      <c r="D102" t="s">
        <v>1751</v>
      </c>
      <c r="E102" t="s">
        <v>1678</v>
      </c>
      <c r="F102">
        <f t="shared" si="1"/>
        <v>0</v>
      </c>
    </row>
    <row r="103" spans="1:6" x14ac:dyDescent="0.4">
      <c r="A103" t="s">
        <v>1335</v>
      </c>
      <c r="B103">
        <v>11</v>
      </c>
      <c r="C103" t="s">
        <v>1676</v>
      </c>
      <c r="D103" t="s">
        <v>1682</v>
      </c>
      <c r="E103" t="s">
        <v>1678</v>
      </c>
      <c r="F103">
        <f t="shared" si="1"/>
        <v>0</v>
      </c>
    </row>
    <row r="104" spans="1:6" x14ac:dyDescent="0.4">
      <c r="A104" t="s">
        <v>1337</v>
      </c>
      <c r="B104">
        <v>11</v>
      </c>
      <c r="C104" t="s">
        <v>1676</v>
      </c>
      <c r="D104" t="s">
        <v>1725</v>
      </c>
      <c r="E104" t="s">
        <v>1678</v>
      </c>
      <c r="F104">
        <f t="shared" si="1"/>
        <v>0</v>
      </c>
    </row>
    <row r="105" spans="1:6" x14ac:dyDescent="0.4">
      <c r="A105" t="s">
        <v>1351</v>
      </c>
      <c r="B105">
        <v>11</v>
      </c>
      <c r="C105" t="s">
        <v>1676</v>
      </c>
      <c r="D105" t="s">
        <v>2224</v>
      </c>
      <c r="E105" t="s">
        <v>1678</v>
      </c>
      <c r="F105">
        <f t="shared" si="1"/>
        <v>0</v>
      </c>
    </row>
    <row r="106" spans="1:6" x14ac:dyDescent="0.4">
      <c r="A106" t="s">
        <v>1363</v>
      </c>
      <c r="B106">
        <v>11</v>
      </c>
      <c r="C106" t="s">
        <v>1676</v>
      </c>
      <c r="D106" t="s">
        <v>1687</v>
      </c>
      <c r="E106" t="s">
        <v>1678</v>
      </c>
      <c r="F106">
        <f t="shared" si="1"/>
        <v>0</v>
      </c>
    </row>
    <row r="107" spans="1:6" x14ac:dyDescent="0.4">
      <c r="A107" t="s">
        <v>1375</v>
      </c>
      <c r="B107">
        <v>11</v>
      </c>
      <c r="C107" t="s">
        <v>1676</v>
      </c>
      <c r="D107" t="s">
        <v>1690</v>
      </c>
      <c r="E107" t="s">
        <v>1678</v>
      </c>
      <c r="F107">
        <f t="shared" si="1"/>
        <v>0</v>
      </c>
    </row>
    <row r="108" spans="1:6" x14ac:dyDescent="0.4">
      <c r="A108" t="s">
        <v>1381</v>
      </c>
      <c r="B108">
        <v>11</v>
      </c>
      <c r="C108" t="s">
        <v>1676</v>
      </c>
      <c r="D108" t="s">
        <v>1740</v>
      </c>
      <c r="E108" t="s">
        <v>1678</v>
      </c>
      <c r="F108">
        <f t="shared" si="1"/>
        <v>0</v>
      </c>
    </row>
    <row r="109" spans="1:6" x14ac:dyDescent="0.4">
      <c r="A109" t="s">
        <v>1391</v>
      </c>
      <c r="B109">
        <v>11</v>
      </c>
      <c r="C109" t="s">
        <v>1676</v>
      </c>
      <c r="D109" t="s">
        <v>1740</v>
      </c>
      <c r="E109" t="s">
        <v>1678</v>
      </c>
      <c r="F109">
        <f t="shared" si="1"/>
        <v>0</v>
      </c>
    </row>
    <row r="110" spans="1:6" x14ac:dyDescent="0.4">
      <c r="A110" t="s">
        <v>1425</v>
      </c>
      <c r="B110">
        <v>11</v>
      </c>
      <c r="C110" t="s">
        <v>1676</v>
      </c>
      <c r="D110" t="s">
        <v>1690</v>
      </c>
      <c r="E110" t="s">
        <v>1678</v>
      </c>
      <c r="F110">
        <f t="shared" si="1"/>
        <v>0</v>
      </c>
    </row>
    <row r="111" spans="1:6" x14ac:dyDescent="0.4">
      <c r="A111" t="s">
        <v>1429</v>
      </c>
      <c r="B111">
        <v>11</v>
      </c>
      <c r="C111" t="s">
        <v>1676</v>
      </c>
      <c r="D111" t="s">
        <v>1785</v>
      </c>
      <c r="E111" t="s">
        <v>1678</v>
      </c>
      <c r="F111">
        <f t="shared" si="1"/>
        <v>0</v>
      </c>
    </row>
    <row r="112" spans="1:6" x14ac:dyDescent="0.4">
      <c r="A112" t="s">
        <v>1445</v>
      </c>
      <c r="B112">
        <v>11</v>
      </c>
      <c r="C112" t="s">
        <v>1676</v>
      </c>
      <c r="D112" t="s">
        <v>2178</v>
      </c>
      <c r="E112" t="s">
        <v>1678</v>
      </c>
      <c r="F112">
        <f t="shared" si="1"/>
        <v>0</v>
      </c>
    </row>
    <row r="113" spans="1:6" x14ac:dyDescent="0.4">
      <c r="A113" t="s">
        <v>1497</v>
      </c>
      <c r="B113">
        <v>11</v>
      </c>
      <c r="C113" t="s">
        <v>1676</v>
      </c>
      <c r="D113" t="s">
        <v>1693</v>
      </c>
      <c r="E113" t="s">
        <v>1678</v>
      </c>
      <c r="F113">
        <f t="shared" si="1"/>
        <v>0</v>
      </c>
    </row>
    <row r="114" spans="1:6" x14ac:dyDescent="0.4">
      <c r="A114" t="s">
        <v>1521</v>
      </c>
      <c r="B114">
        <v>11</v>
      </c>
      <c r="C114" t="s">
        <v>1676</v>
      </c>
      <c r="D114" t="s">
        <v>2603</v>
      </c>
      <c r="E114" t="s">
        <v>1678</v>
      </c>
      <c r="F114">
        <f t="shared" si="1"/>
        <v>0</v>
      </c>
    </row>
    <row r="115" spans="1:6" x14ac:dyDescent="0.4">
      <c r="A115" t="s">
        <v>1551</v>
      </c>
      <c r="B115">
        <v>11</v>
      </c>
      <c r="C115" t="s">
        <v>1676</v>
      </c>
      <c r="D115" t="s">
        <v>2380</v>
      </c>
      <c r="E115" t="s">
        <v>1678</v>
      </c>
      <c r="F115">
        <f t="shared" si="1"/>
        <v>0</v>
      </c>
    </row>
    <row r="116" spans="1:6" x14ac:dyDescent="0.4">
      <c r="A116" t="s">
        <v>1555</v>
      </c>
      <c r="B116">
        <v>11</v>
      </c>
      <c r="C116" t="s">
        <v>1676</v>
      </c>
      <c r="D116" t="s">
        <v>1690</v>
      </c>
      <c r="E116" t="s">
        <v>1678</v>
      </c>
      <c r="F116">
        <f t="shared" si="1"/>
        <v>0</v>
      </c>
    </row>
    <row r="117" spans="1:6" x14ac:dyDescent="0.4">
      <c r="A117" t="s">
        <v>1571</v>
      </c>
      <c r="B117">
        <v>11</v>
      </c>
      <c r="C117" t="s">
        <v>1676</v>
      </c>
      <c r="D117" t="s">
        <v>1689</v>
      </c>
      <c r="E117" t="s">
        <v>1678</v>
      </c>
      <c r="F117">
        <f t="shared" si="1"/>
        <v>0</v>
      </c>
    </row>
    <row r="118" spans="1:6" x14ac:dyDescent="0.4">
      <c r="A118" t="s">
        <v>1585</v>
      </c>
      <c r="B118">
        <v>11</v>
      </c>
      <c r="C118" t="s">
        <v>1676</v>
      </c>
      <c r="D118" t="s">
        <v>1706</v>
      </c>
      <c r="E118" t="s">
        <v>1678</v>
      </c>
      <c r="F118">
        <f t="shared" si="1"/>
        <v>0</v>
      </c>
    </row>
    <row r="119" spans="1:6" x14ac:dyDescent="0.4">
      <c r="A119" t="s">
        <v>1609</v>
      </c>
      <c r="B119">
        <v>11</v>
      </c>
      <c r="C119" t="s">
        <v>1676</v>
      </c>
      <c r="D119" t="s">
        <v>1690</v>
      </c>
      <c r="E119" t="s">
        <v>1678</v>
      </c>
      <c r="F119">
        <f t="shared" si="1"/>
        <v>0</v>
      </c>
    </row>
    <row r="120" spans="1:6" x14ac:dyDescent="0.4">
      <c r="A120" t="s">
        <v>1621</v>
      </c>
      <c r="B120">
        <v>11</v>
      </c>
      <c r="C120" t="s">
        <v>1676</v>
      </c>
      <c r="D120" t="s">
        <v>1969</v>
      </c>
      <c r="E120" t="s">
        <v>1678</v>
      </c>
      <c r="F120">
        <f t="shared" si="1"/>
        <v>0</v>
      </c>
    </row>
    <row r="121" spans="1:6" x14ac:dyDescent="0.4">
      <c r="A121" t="s">
        <v>1627</v>
      </c>
      <c r="B121">
        <v>11</v>
      </c>
      <c r="C121" t="s">
        <v>1676</v>
      </c>
      <c r="D121" t="s">
        <v>2178</v>
      </c>
      <c r="E121" t="s">
        <v>1678</v>
      </c>
      <c r="F121">
        <f t="shared" si="1"/>
        <v>0</v>
      </c>
    </row>
    <row r="122" spans="1:6" x14ac:dyDescent="0.4">
      <c r="A122" t="s">
        <v>1631</v>
      </c>
      <c r="B122">
        <v>11</v>
      </c>
      <c r="C122" t="s">
        <v>1676</v>
      </c>
      <c r="D122" t="s">
        <v>1693</v>
      </c>
      <c r="E122" t="s">
        <v>1678</v>
      </c>
      <c r="F122">
        <f t="shared" si="1"/>
        <v>0</v>
      </c>
    </row>
    <row r="123" spans="1:6" x14ac:dyDescent="0.4">
      <c r="A123" t="s">
        <v>1639</v>
      </c>
      <c r="B123">
        <v>11</v>
      </c>
      <c r="C123" t="s">
        <v>1676</v>
      </c>
      <c r="D123" t="s">
        <v>2044</v>
      </c>
      <c r="E123" t="s">
        <v>1678</v>
      </c>
      <c r="F123">
        <f t="shared" si="1"/>
        <v>0</v>
      </c>
    </row>
    <row r="124" spans="1:6" x14ac:dyDescent="0.4">
      <c r="A124" t="s">
        <v>1647</v>
      </c>
      <c r="B124">
        <v>11</v>
      </c>
      <c r="C124" t="s">
        <v>1676</v>
      </c>
      <c r="D124" t="s">
        <v>1683</v>
      </c>
      <c r="E124" t="s">
        <v>1678</v>
      </c>
      <c r="F124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474F9-E411-457A-8565-4EBEC1964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Test_Hydroxylation</vt:lpstr>
      <vt:lpstr>MusiteDeep</vt:lpstr>
      <vt:lpstr>MusiteDeep-11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SIEU THI SO 4G</dc:creator>
  <cp:lastModifiedBy>Administrator</cp:lastModifiedBy>
  <dcterms:created xsi:type="dcterms:W3CDTF">2026-03-05T10:42:52Z</dcterms:created>
  <dcterms:modified xsi:type="dcterms:W3CDTF">2026-06-23T09:34:08Z</dcterms:modified>
</cp:coreProperties>
</file>