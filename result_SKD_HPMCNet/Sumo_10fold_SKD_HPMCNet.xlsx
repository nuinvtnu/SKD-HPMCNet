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47F5B168-17CB-4AF6-814F-4FD025BD9C1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G13" i="1"/>
  <c r="H13" i="1"/>
  <c r="I13" i="1"/>
  <c r="J13" i="1"/>
  <c r="K13" i="1"/>
  <c r="L13" i="1"/>
  <c r="M13" i="1"/>
  <c r="E13" i="1"/>
  <c r="F3" i="1"/>
  <c r="H3" i="1" s="1"/>
  <c r="G3" i="1"/>
  <c r="I3" i="1"/>
  <c r="J3" i="1"/>
  <c r="K3" i="1"/>
  <c r="L3" i="1"/>
  <c r="F4" i="1"/>
  <c r="G4" i="1"/>
  <c r="H4" i="1"/>
  <c r="I4" i="1"/>
  <c r="J4" i="1"/>
  <c r="L4" i="1" s="1"/>
  <c r="K4" i="1"/>
  <c r="F5" i="1"/>
  <c r="H5" i="1" s="1"/>
  <c r="G5" i="1"/>
  <c r="I5" i="1"/>
  <c r="J5" i="1"/>
  <c r="K5" i="1"/>
  <c r="L5" i="1"/>
  <c r="F6" i="1"/>
  <c r="G6" i="1"/>
  <c r="H6" i="1"/>
  <c r="I6" i="1"/>
  <c r="J6" i="1"/>
  <c r="L6" i="1" s="1"/>
  <c r="K6" i="1"/>
  <c r="F7" i="1"/>
  <c r="H7" i="1" s="1"/>
  <c r="G7" i="1"/>
  <c r="I7" i="1"/>
  <c r="J7" i="1"/>
  <c r="K7" i="1"/>
  <c r="L7" i="1" s="1"/>
  <c r="F8" i="1"/>
  <c r="G8" i="1"/>
  <c r="H8" i="1" s="1"/>
  <c r="I8" i="1"/>
  <c r="J8" i="1"/>
  <c r="L8" i="1" s="1"/>
  <c r="K8" i="1"/>
  <c r="F9" i="1"/>
  <c r="H9" i="1" s="1"/>
  <c r="G9" i="1"/>
  <c r="I9" i="1"/>
  <c r="J9" i="1"/>
  <c r="L9" i="1" s="1"/>
  <c r="K9" i="1"/>
  <c r="F10" i="1"/>
  <c r="G10" i="1"/>
  <c r="H10" i="1"/>
  <c r="I10" i="1"/>
  <c r="J10" i="1"/>
  <c r="K10" i="1"/>
  <c r="L10" i="1"/>
  <c r="F11" i="1"/>
  <c r="G11" i="1"/>
  <c r="H11" i="1" s="1"/>
  <c r="I11" i="1"/>
  <c r="J11" i="1"/>
  <c r="K11" i="1"/>
  <c r="L11" i="1"/>
  <c r="F12" i="1"/>
  <c r="G12" i="1"/>
  <c r="H12" i="1"/>
  <c r="I12" i="1"/>
  <c r="J12" i="1"/>
  <c r="K12" i="1"/>
  <c r="L12" i="1" s="1"/>
  <c r="K2" i="1"/>
  <c r="J2" i="1"/>
  <c r="L2" i="1" s="1"/>
  <c r="I2" i="1"/>
  <c r="G2" i="1"/>
  <c r="F2" i="1"/>
  <c r="H2" i="1" s="1"/>
  <c r="B12" i="1"/>
  <c r="C12" i="1"/>
  <c r="D12" i="1"/>
  <c r="A12" i="1"/>
</calcChain>
</file>

<file path=xl/sharedStrings.xml><?xml version="1.0" encoding="utf-8"?>
<sst xmlns="http://schemas.openxmlformats.org/spreadsheetml/2006/main" count="13" uniqueCount="13">
  <si>
    <t>TP</t>
  </si>
  <si>
    <t>FP</t>
  </si>
  <si>
    <t>TN</t>
  </si>
  <si>
    <t>FN</t>
  </si>
  <si>
    <t>BA</t>
  </si>
  <si>
    <t>AUC</t>
  </si>
  <si>
    <t>AUPR</t>
  </si>
  <si>
    <t>SEN</t>
  </si>
  <si>
    <t>SPE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</si>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</sst>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6" sqref="A6"/>
    </sheetView>
  </sheetViews>
  <sheetFormatPr defaultRowHeight="14.6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7</v>
      </c>
      <c r="G1" s="2" t="s">
        <v>8</v>
      </c>
      <c r="H1" s="2" t="s">
        <v>4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6</v>
      </c>
    </row>
    <row r="2" spans="1:13" x14ac:dyDescent="0.4">
      <c r="A2">
        <v>275</v>
      </c>
      <c r="B2">
        <v>161</v>
      </c>
      <c r="C2">
        <v>1124</v>
      </c>
      <c r="D2">
        <v>141</v>
      </c>
      <c r="E2">
        <v>0.86367292726728528</v>
      </c>
      <c r="F2" s="3">
        <f t="shared" ref="F2" si="0">A2/(A2+D2)</f>
        <v>0.66105769230769229</v>
      </c>
      <c r="G2" s="3">
        <f t="shared" ref="G2" si="1">C2/(C2+B2)</f>
        <v>0.87470817120622568</v>
      </c>
      <c r="H2" s="3">
        <f t="shared" ref="H2" si="2">(F2+G2)/2</f>
        <v>0.76788293175695899</v>
      </c>
      <c r="I2" s="4">
        <f>((A2*C2)-(B2*D2))/SQRT((A2+B2)*(A2+D2)*(C2+B2)*(C2+D2))</f>
        <v>0.52745420708779445</v>
      </c>
      <c r="J2" s="3">
        <f>A2/(A2+B2)</f>
        <v>0.63073394495412849</v>
      </c>
      <c r="K2" s="3">
        <f>A2/(A2+D2)</f>
        <v>0.66105769230769229</v>
      </c>
      <c r="L2" s="3">
        <f t="shared" ref="L2" si="3">2*(J2*K2/(J2+K2))</f>
        <v>0.64553990610328638</v>
      </c>
      <c r="M2">
        <v>0.75942890862834345</v>
      </c>
    </row>
    <row r="3" spans="1:13" x14ac:dyDescent="0.4">
      <c r="A3">
        <v>269</v>
      </c>
      <c r="B3">
        <v>109</v>
      </c>
      <c r="C3">
        <v>1176</v>
      </c>
      <c r="D3">
        <v>147</v>
      </c>
      <c r="E3">
        <v>0.88219283148757854</v>
      </c>
      <c r="F3" s="3">
        <f t="shared" ref="F3:F12" si="4">A3/(A3+D3)</f>
        <v>0.64663461538461542</v>
      </c>
      <c r="G3" s="3">
        <f t="shared" ref="G3:G12" si="5">C3/(C3+B3)</f>
        <v>0.91517509727626456</v>
      </c>
      <c r="H3" s="3">
        <f t="shared" ref="H3:H12" si="6">(F3+G3)/2</f>
        <v>0.78090485633043993</v>
      </c>
      <c r="I3" s="4">
        <f t="shared" ref="I3:I12" si="7">((A3*C3)-(B3*D3))/SQRT((A3+B3)*(A3+D3)*(C3+B3)*(C3+D3))</f>
        <v>0.5808468657165593</v>
      </c>
      <c r="J3" s="3">
        <f t="shared" ref="J3:J12" si="8">A3/(A3+B3)</f>
        <v>0.71164021164021163</v>
      </c>
      <c r="K3" s="3">
        <f t="shared" ref="K3:K12" si="9">A3/(A3+D3)</f>
        <v>0.64663461538461542</v>
      </c>
      <c r="L3" s="3">
        <f t="shared" ref="L3:L12" si="10">2*(J3*K3/(J3+K3))</f>
        <v>0.67758186397984888</v>
      </c>
      <c r="M3">
        <v>0.76974855948381482</v>
      </c>
    </row>
    <row r="4" spans="1:13" x14ac:dyDescent="0.4">
      <c r="A4">
        <v>265</v>
      </c>
      <c r="B4">
        <v>194</v>
      </c>
      <c r="C4">
        <v>1092</v>
      </c>
      <c r="D4">
        <v>150</v>
      </c>
      <c r="E4">
        <v>0.81983923251325663</v>
      </c>
      <c r="F4" s="3">
        <f t="shared" si="4"/>
        <v>0.63855421686746983</v>
      </c>
      <c r="G4" s="3">
        <f t="shared" si="5"/>
        <v>0.84914463452566091</v>
      </c>
      <c r="H4" s="3">
        <f t="shared" si="6"/>
        <v>0.74384942569656531</v>
      </c>
      <c r="I4" s="4">
        <f t="shared" si="7"/>
        <v>0.47187734229735862</v>
      </c>
      <c r="J4" s="3">
        <f t="shared" si="8"/>
        <v>0.57734204793028321</v>
      </c>
      <c r="K4" s="3">
        <f t="shared" si="9"/>
        <v>0.63855421686746983</v>
      </c>
      <c r="L4" s="3">
        <f t="shared" si="10"/>
        <v>0.60640732265446218</v>
      </c>
      <c r="M4">
        <v>0.67572227037732069</v>
      </c>
    </row>
    <row r="5" spans="1:13" x14ac:dyDescent="0.4">
      <c r="A5">
        <v>313</v>
      </c>
      <c r="B5">
        <v>331</v>
      </c>
      <c r="C5">
        <v>955</v>
      </c>
      <c r="D5">
        <v>102</v>
      </c>
      <c r="E5">
        <v>0.82652101407183953</v>
      </c>
      <c r="F5" s="3">
        <f t="shared" si="4"/>
        <v>0.75421686746987948</v>
      </c>
      <c r="G5" s="3">
        <f t="shared" si="5"/>
        <v>0.74261275272161742</v>
      </c>
      <c r="H5" s="3">
        <f t="shared" si="6"/>
        <v>0.7484148100957484</v>
      </c>
      <c r="I5" s="4">
        <f t="shared" si="7"/>
        <v>0.43991785105446463</v>
      </c>
      <c r="J5" s="3">
        <f t="shared" si="8"/>
        <v>0.4860248447204969</v>
      </c>
      <c r="K5" s="3">
        <f t="shared" si="9"/>
        <v>0.75421686746987948</v>
      </c>
      <c r="L5" s="3">
        <f t="shared" si="10"/>
        <v>0.59112370160528804</v>
      </c>
      <c r="M5">
        <v>0.68794258688366217</v>
      </c>
    </row>
    <row r="6" spans="1:13" x14ac:dyDescent="0.4">
      <c r="A6" s="5">
        <v>281</v>
      </c>
      <c r="B6" s="5">
        <v>109</v>
      </c>
      <c r="C6" s="5">
        <v>1176</v>
      </c>
      <c r="D6" s="5">
        <v>134</v>
      </c>
      <c r="E6" s="5">
        <v>0.89142937508790021</v>
      </c>
      <c r="F6" s="4">
        <f t="shared" si="4"/>
        <v>0.67710843373493979</v>
      </c>
      <c r="G6" s="4">
        <f t="shared" si="5"/>
        <v>0.91517509727626456</v>
      </c>
      <c r="H6" s="4">
        <f t="shared" si="6"/>
        <v>0.79614176550560223</v>
      </c>
      <c r="I6" s="4">
        <f t="shared" si="7"/>
        <v>0.60511416267722251</v>
      </c>
      <c r="J6" s="4">
        <f t="shared" si="8"/>
        <v>0.72051282051282051</v>
      </c>
      <c r="K6" s="4">
        <f t="shared" si="9"/>
        <v>0.67710843373493979</v>
      </c>
      <c r="L6" s="4">
        <f t="shared" si="10"/>
        <v>0.69813664596273295</v>
      </c>
      <c r="M6" s="5">
        <v>0.79628924090783448</v>
      </c>
    </row>
    <row r="7" spans="1:13" x14ac:dyDescent="0.4">
      <c r="A7">
        <v>280</v>
      </c>
      <c r="B7">
        <v>167</v>
      </c>
      <c r="C7">
        <v>1118</v>
      </c>
      <c r="D7">
        <v>135</v>
      </c>
      <c r="E7">
        <v>0.87726595096338666</v>
      </c>
      <c r="F7" s="3">
        <f t="shared" si="4"/>
        <v>0.67469879518072284</v>
      </c>
      <c r="G7" s="3">
        <f t="shared" si="5"/>
        <v>0.87003891050583659</v>
      </c>
      <c r="H7" s="3">
        <f t="shared" si="6"/>
        <v>0.77236885284327972</v>
      </c>
      <c r="I7" s="4">
        <f t="shared" si="7"/>
        <v>0.53153730787223952</v>
      </c>
      <c r="J7" s="3">
        <f t="shared" si="8"/>
        <v>0.62639821029082776</v>
      </c>
      <c r="K7" s="3">
        <f t="shared" si="9"/>
        <v>0.67469879518072284</v>
      </c>
      <c r="L7" s="3">
        <f t="shared" si="10"/>
        <v>0.64965197215777259</v>
      </c>
      <c r="M7">
        <v>0.7627831696394749</v>
      </c>
    </row>
    <row r="8" spans="1:13" x14ac:dyDescent="0.4">
      <c r="A8">
        <v>308</v>
      </c>
      <c r="B8">
        <v>229</v>
      </c>
      <c r="C8">
        <v>1056</v>
      </c>
      <c r="D8">
        <v>107</v>
      </c>
      <c r="E8">
        <v>0.86479583704467677</v>
      </c>
      <c r="F8" s="3">
        <f t="shared" si="4"/>
        <v>0.74216867469879522</v>
      </c>
      <c r="G8" s="3">
        <f t="shared" si="5"/>
        <v>0.82178988326848246</v>
      </c>
      <c r="H8" s="3">
        <f t="shared" si="6"/>
        <v>0.78197927898363884</v>
      </c>
      <c r="I8" s="4">
        <f t="shared" si="7"/>
        <v>0.52112967403393384</v>
      </c>
      <c r="J8" s="3">
        <f t="shared" si="8"/>
        <v>0.57355679702048412</v>
      </c>
      <c r="K8" s="3">
        <f t="shared" si="9"/>
        <v>0.74216867469879522</v>
      </c>
      <c r="L8" s="3">
        <f t="shared" si="10"/>
        <v>0.6470588235294118</v>
      </c>
      <c r="M8">
        <v>0.7560572939080128</v>
      </c>
    </row>
    <row r="9" spans="1:13" x14ac:dyDescent="0.4">
      <c r="A9">
        <v>260</v>
      </c>
      <c r="B9">
        <v>125</v>
      </c>
      <c r="C9">
        <v>1160</v>
      </c>
      <c r="D9">
        <v>155</v>
      </c>
      <c r="E9">
        <v>0.86566030659603388</v>
      </c>
      <c r="F9" s="3">
        <f t="shared" si="4"/>
        <v>0.62650602409638556</v>
      </c>
      <c r="G9" s="3">
        <f t="shared" si="5"/>
        <v>0.90272373540856032</v>
      </c>
      <c r="H9" s="3">
        <f t="shared" si="6"/>
        <v>0.764614879752473</v>
      </c>
      <c r="I9" s="4">
        <f t="shared" si="7"/>
        <v>0.54315856011269792</v>
      </c>
      <c r="J9" s="3">
        <f t="shared" si="8"/>
        <v>0.67532467532467533</v>
      </c>
      <c r="K9" s="3">
        <f t="shared" si="9"/>
        <v>0.62650602409638556</v>
      </c>
      <c r="L9" s="3">
        <f t="shared" si="10"/>
        <v>0.65</v>
      </c>
      <c r="M9">
        <v>0.75246807052960407</v>
      </c>
    </row>
    <row r="10" spans="1:13" x14ac:dyDescent="0.4">
      <c r="A10">
        <v>307</v>
      </c>
      <c r="B10">
        <v>323</v>
      </c>
      <c r="C10">
        <v>962</v>
      </c>
      <c r="D10">
        <v>108</v>
      </c>
      <c r="E10">
        <v>0.82797055927992125</v>
      </c>
      <c r="F10" s="3">
        <f t="shared" si="4"/>
        <v>0.73975903614457827</v>
      </c>
      <c r="G10" s="3">
        <f t="shared" si="5"/>
        <v>0.74863813229571985</v>
      </c>
      <c r="H10" s="3">
        <f t="shared" si="6"/>
        <v>0.74419858422014906</v>
      </c>
      <c r="I10" s="4">
        <f t="shared" si="7"/>
        <v>0.43439676865593141</v>
      </c>
      <c r="J10" s="3">
        <f t="shared" si="8"/>
        <v>0.48730158730158729</v>
      </c>
      <c r="K10" s="3">
        <f t="shared" si="9"/>
        <v>0.73975903614457827</v>
      </c>
      <c r="L10" s="3">
        <f t="shared" si="10"/>
        <v>0.58755980861244017</v>
      </c>
      <c r="M10">
        <v>0.69017645367174496</v>
      </c>
    </row>
    <row r="11" spans="1:13" x14ac:dyDescent="0.4">
      <c r="A11">
        <v>274</v>
      </c>
      <c r="B11">
        <v>134</v>
      </c>
      <c r="C11">
        <v>1151</v>
      </c>
      <c r="D11">
        <v>141</v>
      </c>
      <c r="E11">
        <v>0.87505320894472849</v>
      </c>
      <c r="F11" s="3">
        <f t="shared" si="4"/>
        <v>0.66024096385542164</v>
      </c>
      <c r="G11" s="3">
        <f t="shared" si="5"/>
        <v>0.89571984435797669</v>
      </c>
      <c r="H11" s="3">
        <f t="shared" si="6"/>
        <v>0.77798040410669911</v>
      </c>
      <c r="I11" s="4">
        <f t="shared" si="7"/>
        <v>0.55918878335923394</v>
      </c>
      <c r="J11" s="3">
        <f t="shared" si="8"/>
        <v>0.67156862745098034</v>
      </c>
      <c r="K11" s="3">
        <f t="shared" si="9"/>
        <v>0.66024096385542164</v>
      </c>
      <c r="L11" s="3">
        <f t="shared" si="10"/>
        <v>0.66585662211421626</v>
      </c>
      <c r="M11">
        <v>0.77050620657547686</v>
      </c>
    </row>
    <row r="12" spans="1:13" x14ac:dyDescent="0.4">
      <c r="A12">
        <f>SUM(A2:A11)</f>
        <v>2832</v>
      </c>
      <c r="B12">
        <f t="shared" ref="B12:D12" si="11">SUM(B2:B11)</f>
        <v>1882</v>
      </c>
      <c r="C12">
        <f t="shared" si="11"/>
        <v>10970</v>
      </c>
      <c r="D12">
        <f t="shared" si="11"/>
        <v>1320</v>
      </c>
      <c r="E12">
        <v>0.85944012432566075</v>
      </c>
      <c r="F12" s="3">
        <f t="shared" si="4"/>
        <v>0.68208092485549132</v>
      </c>
      <c r="G12" s="3">
        <f t="shared" si="5"/>
        <v>0.85356364768129478</v>
      </c>
      <c r="H12" s="3">
        <f t="shared" si="6"/>
        <v>0.767822286268393</v>
      </c>
      <c r="I12" s="4">
        <f t="shared" si="7"/>
        <v>0.51406733544654104</v>
      </c>
      <c r="J12" s="3">
        <f t="shared" si="8"/>
        <v>0.60076368264743318</v>
      </c>
      <c r="K12" s="3">
        <f t="shared" si="9"/>
        <v>0.68208092485549132</v>
      </c>
      <c r="L12" s="3">
        <f t="shared" si="10"/>
        <v>0.63884502594180015</v>
      </c>
      <c r="M12">
        <v>0.74211227606052887</v>
      </c>
    </row>
    <row r="13" spans="1:13" x14ac:dyDescent="0.4">
      <c r="E13">
        <f>_xlfn.STDEV.S(E2:E11)</f>
        <v>2.5451586454641406E-2</v>
      </c>
      <c r="F13">
        <f t="shared" ref="F13:M13" si="12">_xlfn.STDEV.S(F2:F11)</f>
        <v>4.6402419759610514E-2</v>
      </c>
      <c r="G13">
        <f t="shared" si="12"/>
        <v>6.399035482324901E-2</v>
      </c>
      <c r="H13">
        <f t="shared" si="12"/>
        <v>1.7692254881461693E-2</v>
      </c>
      <c r="I13">
        <f t="shared" si="12"/>
        <v>5.7003184443858088E-2</v>
      </c>
      <c r="J13">
        <f t="shared" si="12"/>
        <v>8.4165940564573091E-2</v>
      </c>
      <c r="K13">
        <f t="shared" si="12"/>
        <v>4.6402419759610514E-2</v>
      </c>
      <c r="L13">
        <f t="shared" si="12"/>
        <v>3.6463161452099914E-2</v>
      </c>
      <c r="M13">
        <f t="shared" si="12"/>
        <v>4.1597673954245365E-2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2026-08-01T06:02:45Z</dcterms:created>
  <dcterms:modified xsi:type="dcterms:W3CDTF">2026-08-01T09:34:01Z</dcterms:modified>
</cp:coreProperties>
</file>