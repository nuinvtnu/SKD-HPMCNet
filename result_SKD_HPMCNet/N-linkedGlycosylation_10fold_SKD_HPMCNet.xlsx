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SKD_HPMCNet_New\"/>
    </mc:Choice>
  </mc:AlternateContent>
  <xr:revisionPtr revIDLastSave="0" documentId="13_ncr:1_{01EDCEB8-7651-45B3-97DB-87CF2CCA6D11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H3" i="1" s="1"/>
  <c r="G3" i="1"/>
  <c r="I3" i="1"/>
  <c r="J3" i="1"/>
  <c r="L3" i="1" s="1"/>
  <c r="K3" i="1"/>
  <c r="F4" i="1"/>
  <c r="G4" i="1"/>
  <c r="H4" i="1" s="1"/>
  <c r="I4" i="1"/>
  <c r="J4" i="1"/>
  <c r="K4" i="1"/>
  <c r="L4" i="1"/>
  <c r="F5" i="1"/>
  <c r="H5" i="1" s="1"/>
  <c r="G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 s="1"/>
  <c r="I7" i="1"/>
  <c r="J7" i="1"/>
  <c r="K7" i="1"/>
  <c r="K13" i="1" s="1"/>
  <c r="F8" i="1"/>
  <c r="G8" i="1"/>
  <c r="G13" i="1" s="1"/>
  <c r="I8" i="1"/>
  <c r="J8" i="1"/>
  <c r="K8" i="1"/>
  <c r="L8" i="1"/>
  <c r="F9" i="1"/>
  <c r="H9" i="1" s="1"/>
  <c r="G9" i="1"/>
  <c r="I9" i="1"/>
  <c r="J9" i="1"/>
  <c r="K9" i="1"/>
  <c r="L9" i="1" s="1"/>
  <c r="F10" i="1"/>
  <c r="G10" i="1"/>
  <c r="H10" i="1"/>
  <c r="I10" i="1"/>
  <c r="J10" i="1"/>
  <c r="K10" i="1"/>
  <c r="L10" i="1"/>
  <c r="F11" i="1"/>
  <c r="H11" i="1" s="1"/>
  <c r="G11" i="1"/>
  <c r="I11" i="1"/>
  <c r="J11" i="1"/>
  <c r="K11" i="1"/>
  <c r="L11" i="1"/>
  <c r="F12" i="1"/>
  <c r="G12" i="1"/>
  <c r="H12" i="1"/>
  <c r="I12" i="1"/>
  <c r="J12" i="1"/>
  <c r="K12" i="1"/>
  <c r="L12" i="1"/>
  <c r="K2" i="1"/>
  <c r="J2" i="1"/>
  <c r="L2" i="1" s="1"/>
  <c r="I2" i="1"/>
  <c r="G2" i="1"/>
  <c r="F2" i="1"/>
  <c r="H2" i="1" s="1"/>
  <c r="I13" i="1"/>
  <c r="E13" i="1"/>
  <c r="M13" i="1"/>
  <c r="D12" i="1"/>
  <c r="C12" i="1"/>
  <c r="B12" i="1"/>
  <c r="A12" i="1"/>
  <c r="L7" i="1" l="1"/>
  <c r="H8" i="1"/>
  <c r="L13" i="1"/>
  <c r="J13" i="1"/>
  <c r="F13" i="1"/>
  <c r="H13" i="1" l="1"/>
</calcChain>
</file>

<file path=xl/sharedStrings.xml><?xml version="1.0" encoding="utf-8"?>
<sst xmlns="http://schemas.openxmlformats.org/spreadsheetml/2006/main" count="13" uniqueCount="13">
  <si>
    <t>TP</t>
  </si>
  <si>
    <t>FP</t>
  </si>
  <si>
    <t>TN</t>
  </si>
  <si>
    <t>FN</t>
  </si>
  <si>
    <t>BA</t>
  </si>
  <si>
    <t>AUC</t>
  </si>
  <si>
    <t>AUPR</t>
  </si>
  <si>
    <t>SEN</t>
  </si>
  <si>
    <t>SPE</t>
  </si>
  <si>
    <t>MCC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</si>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</sst>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168" fontId="0" fillId="0" borderId="1" xfId="0" applyNumberFormat="1" applyBorder="1"/>
    <xf numFmtId="168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M15" sqref="M15"/>
    </sheetView>
  </sheetViews>
  <sheetFormatPr defaultRowHeight="14.6" x14ac:dyDescent="0.4"/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7</v>
      </c>
      <c r="G1" s="3" t="s">
        <v>8</v>
      </c>
      <c r="H1" s="3" t="s">
        <v>4</v>
      </c>
      <c r="I1" s="3" t="s">
        <v>9</v>
      </c>
      <c r="J1" s="3" t="s">
        <v>10</v>
      </c>
      <c r="K1" s="3" t="s">
        <v>11</v>
      </c>
      <c r="L1" s="3" t="s">
        <v>12</v>
      </c>
      <c r="M1" s="1" t="s">
        <v>6</v>
      </c>
      <c r="N1" s="3"/>
    </row>
    <row r="2" spans="1:14" x14ac:dyDescent="0.4">
      <c r="A2">
        <v>196</v>
      </c>
      <c r="B2">
        <v>42</v>
      </c>
      <c r="C2">
        <v>624</v>
      </c>
      <c r="D2">
        <v>6</v>
      </c>
      <c r="E2">
        <v>0.96614188445871618</v>
      </c>
      <c r="F2" s="4">
        <f t="shared" ref="F2" si="0">A2/(A2+D2)</f>
        <v>0.97029702970297027</v>
      </c>
      <c r="G2" s="4">
        <f t="shared" ref="G2" si="1">C2/(C2+B2)</f>
        <v>0.93693693693693691</v>
      </c>
      <c r="H2" s="4">
        <f t="shared" ref="H2" si="2">(F2+G2)/2</f>
        <v>0.95361698331995359</v>
      </c>
      <c r="I2" s="5">
        <f>((A2*C2)-(B2*D2))/SQRT((A2+B2)*(A2+D2)*(C2+B2)*(C2+D2))</f>
        <v>0.85935646351680806</v>
      </c>
      <c r="J2" s="4">
        <f>A2/(A2+B2)</f>
        <v>0.82352941176470584</v>
      </c>
      <c r="K2" s="4">
        <f>A2/(A2+D2)</f>
        <v>0.97029702970297027</v>
      </c>
      <c r="L2" s="4">
        <f t="shared" ref="L2" si="3">2*(J2*K2/(J2+K2))</f>
        <v>0.89090909090909087</v>
      </c>
      <c r="M2">
        <v>0.83812077507399807</v>
      </c>
      <c r="N2" s="4"/>
    </row>
    <row r="3" spans="1:14" x14ac:dyDescent="0.4">
      <c r="A3">
        <v>193</v>
      </c>
      <c r="B3">
        <v>73</v>
      </c>
      <c r="C3">
        <v>593</v>
      </c>
      <c r="D3">
        <v>9</v>
      </c>
      <c r="E3">
        <v>0.9388175304016888</v>
      </c>
      <c r="F3" s="4">
        <f t="shared" ref="F3:F12" si="4">A3/(A3+D3)</f>
        <v>0.95544554455445541</v>
      </c>
      <c r="G3" s="4">
        <f t="shared" ref="G3:G12" si="5">C3/(C3+B3)</f>
        <v>0.89039039039039036</v>
      </c>
      <c r="H3" s="4">
        <f t="shared" ref="H3:H12" si="6">(F3+G3)/2</f>
        <v>0.92291796747242283</v>
      </c>
      <c r="I3" s="5">
        <f t="shared" ref="I3:I12" si="7">((A3*C3)-(B3*D3))/SQRT((A3+B3)*(A3+D3)*(C3+B3)*(C3+D3))</f>
        <v>0.77528229713734875</v>
      </c>
      <c r="J3" s="4">
        <f t="shared" ref="J3:J12" si="8">A3/(A3+B3)</f>
        <v>0.72556390977443608</v>
      </c>
      <c r="K3" s="4">
        <f t="shared" ref="K3:K12" si="9">A3/(A3+D3)</f>
        <v>0.95544554455445541</v>
      </c>
      <c r="L3" s="4">
        <f t="shared" ref="L3:L12" si="10">2*(J3*K3/(J3+K3))</f>
        <v>0.82478632478632485</v>
      </c>
      <c r="M3">
        <v>0.77851304072945315</v>
      </c>
    </row>
    <row r="4" spans="1:14" x14ac:dyDescent="0.4">
      <c r="A4">
        <v>196</v>
      </c>
      <c r="B4">
        <v>69</v>
      </c>
      <c r="C4">
        <v>598</v>
      </c>
      <c r="D4">
        <v>5</v>
      </c>
      <c r="E4">
        <v>0.95445560801688711</v>
      </c>
      <c r="F4" s="4">
        <f t="shared" si="4"/>
        <v>0.97512437810945274</v>
      </c>
      <c r="G4" s="4">
        <f t="shared" si="5"/>
        <v>0.89655172413793105</v>
      </c>
      <c r="H4" s="4">
        <f t="shared" si="6"/>
        <v>0.93583805112369189</v>
      </c>
      <c r="I4" s="5">
        <f t="shared" si="7"/>
        <v>0.79842567149861443</v>
      </c>
      <c r="J4" s="4">
        <f t="shared" si="8"/>
        <v>0.73962264150943391</v>
      </c>
      <c r="K4" s="4">
        <f t="shared" si="9"/>
        <v>0.97512437810945274</v>
      </c>
      <c r="L4" s="4">
        <f t="shared" si="10"/>
        <v>0.84120171673819744</v>
      </c>
      <c r="M4">
        <v>0.787141318064844</v>
      </c>
    </row>
    <row r="5" spans="1:14" x14ac:dyDescent="0.4">
      <c r="A5" s="2">
        <v>196</v>
      </c>
      <c r="B5" s="2">
        <v>50</v>
      </c>
      <c r="C5" s="2">
        <v>617</v>
      </c>
      <c r="D5" s="2">
        <v>5</v>
      </c>
      <c r="E5" s="2">
        <v>0.9761089604451505</v>
      </c>
      <c r="F5" s="4">
        <f t="shared" si="4"/>
        <v>0.97512437810945274</v>
      </c>
      <c r="G5" s="4">
        <f t="shared" si="5"/>
        <v>0.92503748125937035</v>
      </c>
      <c r="H5" s="4">
        <f t="shared" si="6"/>
        <v>0.95008092968441149</v>
      </c>
      <c r="I5" s="5">
        <f t="shared" si="7"/>
        <v>0.84259486352956336</v>
      </c>
      <c r="J5" s="4">
        <f t="shared" si="8"/>
        <v>0.7967479674796748</v>
      </c>
      <c r="K5" s="4">
        <f t="shared" si="9"/>
        <v>0.97512437810945274</v>
      </c>
      <c r="L5" s="4">
        <f t="shared" si="10"/>
        <v>0.87695749440715887</v>
      </c>
      <c r="M5" s="2">
        <v>0.88943431170527687</v>
      </c>
    </row>
    <row r="6" spans="1:14" x14ac:dyDescent="0.4">
      <c r="A6">
        <v>196</v>
      </c>
      <c r="B6">
        <v>47</v>
      </c>
      <c r="C6">
        <v>620</v>
      </c>
      <c r="D6">
        <v>5</v>
      </c>
      <c r="E6">
        <v>0.96812041740323873</v>
      </c>
      <c r="F6" s="4">
        <f t="shared" si="4"/>
        <v>0.97512437810945274</v>
      </c>
      <c r="G6" s="4">
        <f t="shared" si="5"/>
        <v>0.92953523238380809</v>
      </c>
      <c r="H6" s="4">
        <f t="shared" si="6"/>
        <v>0.95232980524663047</v>
      </c>
      <c r="I6" s="5">
        <f t="shared" si="7"/>
        <v>0.84996883354597608</v>
      </c>
      <c r="J6" s="4">
        <f t="shared" si="8"/>
        <v>0.80658436213991769</v>
      </c>
      <c r="K6" s="4">
        <f t="shared" si="9"/>
        <v>0.97512437810945274</v>
      </c>
      <c r="L6" s="4">
        <f t="shared" si="10"/>
        <v>0.88288288288288297</v>
      </c>
      <c r="M6">
        <v>0.85592678508983988</v>
      </c>
    </row>
    <row r="7" spans="1:14" x14ac:dyDescent="0.4">
      <c r="A7">
        <v>194</v>
      </c>
      <c r="B7">
        <v>41</v>
      </c>
      <c r="C7">
        <v>625</v>
      </c>
      <c r="D7">
        <v>7</v>
      </c>
      <c r="E7">
        <v>0.97546800531875155</v>
      </c>
      <c r="F7" s="4">
        <f t="shared" si="4"/>
        <v>0.96517412935323388</v>
      </c>
      <c r="G7" s="4">
        <f t="shared" si="5"/>
        <v>0.93843843843843844</v>
      </c>
      <c r="H7" s="4">
        <f t="shared" si="6"/>
        <v>0.9518062838958361</v>
      </c>
      <c r="I7" s="5">
        <f t="shared" si="7"/>
        <v>0.85787682470309923</v>
      </c>
      <c r="J7" s="4">
        <f t="shared" si="8"/>
        <v>0.82553191489361699</v>
      </c>
      <c r="K7" s="4">
        <f t="shared" si="9"/>
        <v>0.96517412935323388</v>
      </c>
      <c r="L7" s="4">
        <f t="shared" si="10"/>
        <v>0.88990825688073405</v>
      </c>
      <c r="M7">
        <v>0.86889301234742577</v>
      </c>
    </row>
    <row r="8" spans="1:14" x14ac:dyDescent="0.4">
      <c r="A8">
        <v>196</v>
      </c>
      <c r="B8">
        <v>66</v>
      </c>
      <c r="C8">
        <v>600</v>
      </c>
      <c r="D8">
        <v>5</v>
      </c>
      <c r="E8">
        <v>0.9533264607891474</v>
      </c>
      <c r="F8" s="4">
        <f t="shared" si="4"/>
        <v>0.97512437810945274</v>
      </c>
      <c r="G8" s="4">
        <f t="shared" si="5"/>
        <v>0.90090090090090091</v>
      </c>
      <c r="H8" s="4">
        <f t="shared" si="6"/>
        <v>0.93801263950517688</v>
      </c>
      <c r="I8" s="5">
        <f t="shared" si="7"/>
        <v>0.80505110207443342</v>
      </c>
      <c r="J8" s="4">
        <f t="shared" si="8"/>
        <v>0.74809160305343514</v>
      </c>
      <c r="K8" s="4">
        <f t="shared" si="9"/>
        <v>0.97512437810945274</v>
      </c>
      <c r="L8" s="4">
        <f t="shared" si="10"/>
        <v>0.8466522678185745</v>
      </c>
      <c r="M8">
        <v>0.7874543650058522</v>
      </c>
    </row>
    <row r="9" spans="1:14" x14ac:dyDescent="0.4">
      <c r="A9">
        <v>193</v>
      </c>
      <c r="B9">
        <v>47</v>
      </c>
      <c r="C9">
        <v>619</v>
      </c>
      <c r="D9">
        <v>8</v>
      </c>
      <c r="E9">
        <v>0.95959392228048945</v>
      </c>
      <c r="F9" s="4">
        <f t="shared" si="4"/>
        <v>0.96019900497512434</v>
      </c>
      <c r="G9" s="4">
        <f t="shared" si="5"/>
        <v>0.92942942942942941</v>
      </c>
      <c r="H9" s="4">
        <f t="shared" si="6"/>
        <v>0.94481421720227687</v>
      </c>
      <c r="I9" s="5">
        <f t="shared" si="7"/>
        <v>0.83908200532120758</v>
      </c>
      <c r="J9" s="4">
        <f t="shared" si="8"/>
        <v>0.8041666666666667</v>
      </c>
      <c r="K9" s="4">
        <f t="shared" si="9"/>
        <v>0.96019900497512434</v>
      </c>
      <c r="L9" s="4">
        <f t="shared" si="10"/>
        <v>0.87528344671201808</v>
      </c>
      <c r="M9">
        <v>0.83479805602277379</v>
      </c>
    </row>
    <row r="10" spans="1:14" x14ac:dyDescent="0.4">
      <c r="A10">
        <v>197</v>
      </c>
      <c r="B10">
        <v>88</v>
      </c>
      <c r="C10">
        <v>578</v>
      </c>
      <c r="D10">
        <v>4</v>
      </c>
      <c r="E10">
        <v>0.96492761418134554</v>
      </c>
      <c r="F10" s="4">
        <f t="shared" si="4"/>
        <v>0.98009950248756217</v>
      </c>
      <c r="G10" s="4">
        <f t="shared" si="5"/>
        <v>0.86786786786786785</v>
      </c>
      <c r="H10" s="4">
        <f t="shared" si="6"/>
        <v>0.92398368517771501</v>
      </c>
      <c r="I10" s="5">
        <f t="shared" si="7"/>
        <v>0.76178139551126667</v>
      </c>
      <c r="J10" s="4">
        <f t="shared" si="8"/>
        <v>0.69122807017543864</v>
      </c>
      <c r="K10" s="4">
        <f t="shared" si="9"/>
        <v>0.98009950248756217</v>
      </c>
      <c r="L10" s="4">
        <f t="shared" si="10"/>
        <v>0.81069958847736634</v>
      </c>
      <c r="M10">
        <v>0.8414083538304088</v>
      </c>
    </row>
    <row r="11" spans="1:14" x14ac:dyDescent="0.4">
      <c r="A11">
        <v>193</v>
      </c>
      <c r="B11">
        <v>73</v>
      </c>
      <c r="C11">
        <v>593</v>
      </c>
      <c r="D11">
        <v>8</v>
      </c>
      <c r="E11">
        <v>0.95264667652727353</v>
      </c>
      <c r="F11" s="4">
        <f t="shared" si="4"/>
        <v>0.96019900497512434</v>
      </c>
      <c r="G11" s="4">
        <f t="shared" si="5"/>
        <v>0.89039039039039036</v>
      </c>
      <c r="H11" s="4">
        <f t="shared" si="6"/>
        <v>0.92529469768275741</v>
      </c>
      <c r="I11" s="5">
        <f t="shared" si="7"/>
        <v>0.77835380509864582</v>
      </c>
      <c r="J11" s="4">
        <f t="shared" si="8"/>
        <v>0.72556390977443608</v>
      </c>
      <c r="K11" s="4">
        <f t="shared" si="9"/>
        <v>0.96019900497512434</v>
      </c>
      <c r="L11" s="4">
        <f t="shared" si="10"/>
        <v>0.82655246252676651</v>
      </c>
      <c r="M11">
        <v>0.79342896292293097</v>
      </c>
    </row>
    <row r="12" spans="1:14" x14ac:dyDescent="0.4">
      <c r="A12">
        <f>SUM(A2:A11)</f>
        <v>1950</v>
      </c>
      <c r="B12">
        <f t="shared" ref="B12:D12" si="11">SUM(B2:B11)</f>
        <v>596</v>
      </c>
      <c r="C12">
        <f t="shared" si="11"/>
        <v>6067</v>
      </c>
      <c r="D12">
        <f t="shared" si="11"/>
        <v>62</v>
      </c>
      <c r="E12">
        <v>0.96096070798226874</v>
      </c>
      <c r="F12" s="4">
        <f t="shared" si="4"/>
        <v>0.96918489065606361</v>
      </c>
      <c r="G12" s="4">
        <f t="shared" si="5"/>
        <v>0.91055080294161794</v>
      </c>
      <c r="H12" s="4">
        <f t="shared" si="6"/>
        <v>0.93986784679884083</v>
      </c>
      <c r="I12" s="5">
        <f t="shared" si="7"/>
        <v>0.81541199819261467</v>
      </c>
      <c r="J12" s="4">
        <f t="shared" si="8"/>
        <v>0.7659073055773763</v>
      </c>
      <c r="K12" s="4">
        <f t="shared" si="9"/>
        <v>0.96918489065606361</v>
      </c>
      <c r="L12" s="4">
        <f t="shared" si="10"/>
        <v>0.85563843791136462</v>
      </c>
      <c r="M12">
        <v>0.82751189807928027</v>
      </c>
    </row>
    <row r="13" spans="1:14" x14ac:dyDescent="0.4">
      <c r="E13">
        <f>_xlfn.STDEV.S(E2:E11)</f>
        <v>1.1526217426531192E-2</v>
      </c>
      <c r="F13">
        <f t="shared" ref="F13:L13" si="12">_xlfn.STDEV.S(F2:F11)</f>
        <v>8.3521346262713514E-3</v>
      </c>
      <c r="G13">
        <f t="shared" si="12"/>
        <v>2.4322909582584089E-2</v>
      </c>
      <c r="H13">
        <f t="shared" si="12"/>
        <v>1.2415500078434907E-2</v>
      </c>
      <c r="I13">
        <f t="shared" si="12"/>
        <v>3.7215463007539119E-2</v>
      </c>
      <c r="J13">
        <f t="shared" si="12"/>
        <v>4.7969270695844474E-2</v>
      </c>
      <c r="K13">
        <f t="shared" si="12"/>
        <v>8.3521346262713514E-3</v>
      </c>
      <c r="L13">
        <f t="shared" si="12"/>
        <v>2.9997622750659206E-2</v>
      </c>
      <c r="M13">
        <f t="shared" ref="M13" si="13">_xlfn.STDEV.S(M2:M11)</f>
        <v>3.8743974096864059E-2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2026-08-01T05:39:03Z</dcterms:created>
  <dcterms:modified xsi:type="dcterms:W3CDTF">2026-08-01T09:02:22Z</dcterms:modified>
</cp:coreProperties>
</file>